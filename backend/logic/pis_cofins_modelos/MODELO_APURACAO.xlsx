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zen\Desktop\assistente\pis_cofins\apuracao\"/>
    </mc:Choice>
  </mc:AlternateContent>
  <xr:revisionPtr revIDLastSave="0" documentId="13_ncr:1_{D0C19365-4944-4BEE-887B-EFD9D1E856E2}" xr6:coauthVersionLast="47" xr6:coauthVersionMax="47" xr10:uidLastSave="{00000000-0000-0000-0000-000000000000}"/>
  <bookViews>
    <workbookView xWindow="28680" yWindow="2220" windowWidth="24240" windowHeight="13020" tabRatio="760" firstSheet="3" activeTab="4" xr2:uid="{00000000-000D-0000-FFFF-FFFF00000000}"/>
  </bookViews>
  <sheets>
    <sheet name="ENTRADAS" sheetId="10" state="hidden" r:id="rId1"/>
    <sheet name="ENTRADA NBS" sheetId="9" state="hidden" r:id="rId2"/>
    <sheet name="SAIDA NBS" sheetId="8" state="hidden" r:id="rId3"/>
    <sheet name="RESUMO" sheetId="17" r:id="rId4"/>
    <sheet name="Pis e Cofins - NAO CUMULATIVO" sheetId="7" r:id="rId5"/>
    <sheet name="Pis e Cofins - CUMULATIVO " sheetId="16" r:id="rId6"/>
    <sheet name="RECEITAS" sheetId="15" state="hidden" r:id="rId7"/>
    <sheet name="Devolução" sheetId="11" state="hidden" r:id="rId8"/>
    <sheet name="CONSOLIDADO" sheetId="12" state="hidden" r:id="rId9"/>
    <sheet name="Devolução (2)" sheetId="13" state="hidden" r:id="rId10"/>
    <sheet name="Devolução VU" sheetId="14" state="hidden" r:id="rId11"/>
    <sheet name="Apuração de IRPJ e CSLL" sheetId="3" state="hidden" r:id="rId12"/>
  </sheets>
  <definedNames>
    <definedName name="_xlnm._FilterDatabase" localSheetId="8" hidden="1">CONSOLIDADO!$A$6:$AM$4908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7" i="7" l="1"/>
  <c r="C74" i="7" l="1"/>
  <c r="C76" i="7" s="1"/>
  <c r="C60" i="7" l="1"/>
  <c r="C92" i="16"/>
  <c r="C13" i="16"/>
  <c r="C96" i="16" s="1"/>
  <c r="C109" i="16" s="1"/>
  <c r="B4" i="17" s="1"/>
  <c r="C8" i="16"/>
  <c r="C9" i="7"/>
  <c r="C14" i="7" s="1"/>
  <c r="C88" i="16"/>
  <c r="C91" i="16" s="1"/>
  <c r="C81" i="16"/>
  <c r="C79" i="16"/>
  <c r="C82" i="16" s="1"/>
  <c r="C72" i="16"/>
  <c r="C70" i="16"/>
  <c r="C73" i="16" s="1"/>
  <c r="C65" i="16"/>
  <c r="C53" i="16"/>
  <c r="C55" i="16" s="1"/>
  <c r="C59" i="7"/>
  <c r="C92" i="7"/>
  <c r="C95" i="7" s="1"/>
  <c r="C83" i="7"/>
  <c r="C85" i="7" s="1"/>
  <c r="C69" i="7"/>
  <c r="C15" i="7" l="1"/>
  <c r="C16" i="7" s="1"/>
  <c r="C87" i="7"/>
  <c r="C86" i="7"/>
  <c r="C94" i="7"/>
  <c r="C96" i="7" s="1"/>
  <c r="C61" i="7"/>
  <c r="C100" i="7"/>
  <c r="C77" i="7"/>
  <c r="C105" i="7"/>
  <c r="C90" i="16"/>
  <c r="C100" i="16" s="1"/>
  <c r="C115" i="16" s="1"/>
  <c r="C14" i="16"/>
  <c r="C15" i="16" s="1"/>
  <c r="C83" i="16"/>
  <c r="C56" i="16"/>
  <c r="C74" i="16"/>
  <c r="E119" i="16"/>
  <c r="E121" i="16" s="1"/>
  <c r="K42" i="3"/>
  <c r="K41" i="3"/>
  <c r="K43" i="3" s="1"/>
  <c r="H41" i="3"/>
  <c r="C33" i="3"/>
  <c r="N32" i="3"/>
  <c r="N42" i="3" s="1"/>
  <c r="M32" i="3"/>
  <c r="L32" i="3"/>
  <c r="K32" i="3"/>
  <c r="J32" i="3"/>
  <c r="I32" i="3"/>
  <c r="H32" i="3"/>
  <c r="G32" i="3"/>
  <c r="F32" i="3"/>
  <c r="H42" i="3" s="1"/>
  <c r="E32" i="3"/>
  <c r="D32" i="3"/>
  <c r="C32" i="3"/>
  <c r="N31" i="3"/>
  <c r="N33" i="3" s="1"/>
  <c r="M31" i="3"/>
  <c r="M33" i="3" s="1"/>
  <c r="L31" i="3"/>
  <c r="L33" i="3" s="1"/>
  <c r="K31" i="3"/>
  <c r="K33" i="3" s="1"/>
  <c r="J31" i="3"/>
  <c r="J33" i="3" s="1"/>
  <c r="I31" i="3"/>
  <c r="I33" i="3" s="1"/>
  <c r="H31" i="3"/>
  <c r="H33" i="3" s="1"/>
  <c r="G31" i="3"/>
  <c r="G33" i="3" s="1"/>
  <c r="F31" i="3"/>
  <c r="F33" i="3" s="1"/>
  <c r="E31" i="3"/>
  <c r="E33" i="3" s="1"/>
  <c r="D31" i="3"/>
  <c r="D33" i="3" s="1"/>
  <c r="C31" i="3"/>
  <c r="E41" i="3" s="1"/>
  <c r="E43" i="3" s="1"/>
  <c r="N29" i="3"/>
  <c r="M29" i="3"/>
  <c r="L29" i="3"/>
  <c r="K29" i="3"/>
  <c r="J29" i="3"/>
  <c r="I29" i="3"/>
  <c r="H29" i="3"/>
  <c r="G29" i="3"/>
  <c r="F29" i="3"/>
  <c r="E29" i="3"/>
  <c r="D29" i="3"/>
  <c r="C29" i="3"/>
  <c r="N19" i="3"/>
  <c r="N18" i="3"/>
  <c r="M18" i="3"/>
  <c r="L18" i="3"/>
  <c r="K18" i="3"/>
  <c r="J18" i="3"/>
  <c r="I18" i="3"/>
  <c r="H18" i="3"/>
  <c r="G18" i="3"/>
  <c r="F18" i="3"/>
  <c r="E18" i="3"/>
  <c r="D18" i="3"/>
  <c r="C18" i="3"/>
  <c r="N17" i="3"/>
  <c r="M17" i="3"/>
  <c r="M19" i="3" s="1"/>
  <c r="L17" i="3"/>
  <c r="L19" i="3" s="1"/>
  <c r="K17" i="3"/>
  <c r="K19" i="3" s="1"/>
  <c r="J17" i="3"/>
  <c r="J19" i="3" s="1"/>
  <c r="I17" i="3"/>
  <c r="I19" i="3" s="1"/>
  <c r="H17" i="3"/>
  <c r="H19" i="3" s="1"/>
  <c r="G17" i="3"/>
  <c r="G19" i="3" s="1"/>
  <c r="F17" i="3"/>
  <c r="F19" i="3" s="1"/>
  <c r="E17" i="3"/>
  <c r="E19" i="3" s="1"/>
  <c r="D17" i="3"/>
  <c r="D19" i="3" s="1"/>
  <c r="C17" i="3"/>
  <c r="C19" i="3" s="1"/>
  <c r="D4" i="3"/>
  <c r="D14" i="3" s="1"/>
  <c r="Q17" i="14"/>
  <c r="P17" i="14"/>
  <c r="O17" i="14"/>
  <c r="N17" i="14"/>
  <c r="K17" i="14"/>
  <c r="I17" i="14"/>
  <c r="H17" i="14"/>
  <c r="G17" i="14"/>
  <c r="E17" i="14"/>
  <c r="M11" i="13"/>
  <c r="L11" i="13"/>
  <c r="K11" i="13"/>
  <c r="I11" i="13"/>
  <c r="H11" i="13"/>
  <c r="F11" i="13"/>
  <c r="N18" i="15"/>
  <c r="M18" i="15"/>
  <c r="H16" i="15"/>
  <c r="J16" i="15" s="1"/>
  <c r="L15" i="15"/>
  <c r="L14" i="15"/>
  <c r="N9" i="15"/>
  <c r="M9" i="15"/>
  <c r="G7" i="15"/>
  <c r="L6" i="15"/>
  <c r="H6" i="15"/>
  <c r="J6" i="15" s="1"/>
  <c r="L5" i="15"/>
  <c r="C4" i="3"/>
  <c r="C52" i="8"/>
  <c r="C50" i="8"/>
  <c r="C54" i="8" s="1"/>
  <c r="C55" i="8" s="1"/>
  <c r="G46" i="8"/>
  <c r="C44" i="8"/>
  <c r="G40" i="8"/>
  <c r="G31" i="8"/>
  <c r="D31" i="8"/>
  <c r="D33" i="8" s="1"/>
  <c r="C31" i="8"/>
  <c r="I28" i="8"/>
  <c r="F28" i="8"/>
  <c r="M24" i="8"/>
  <c r="K24" i="8" s="1"/>
  <c r="I24" i="8"/>
  <c r="F24" i="8"/>
  <c r="G19" i="8"/>
  <c r="D19" i="8"/>
  <c r="C19" i="8"/>
  <c r="I18" i="8"/>
  <c r="I19" i="8" s="1"/>
  <c r="F18" i="8"/>
  <c r="F19" i="8" s="1"/>
  <c r="I17" i="8"/>
  <c r="F17" i="8"/>
  <c r="G13" i="8"/>
  <c r="D13" i="8"/>
  <c r="G45" i="8" s="1"/>
  <c r="C13" i="8"/>
  <c r="I12" i="8"/>
  <c r="F12" i="8"/>
  <c r="I11" i="8"/>
  <c r="I13" i="8" s="1"/>
  <c r="F11" i="8"/>
  <c r="F13" i="8" s="1"/>
  <c r="I7" i="8"/>
  <c r="G7" i="8"/>
  <c r="F7" i="8"/>
  <c r="D7" i="8"/>
  <c r="C7" i="8"/>
  <c r="G39" i="8" s="1"/>
  <c r="I6" i="8"/>
  <c r="I5" i="8"/>
  <c r="C172" i="9"/>
  <c r="C175" i="9" s="1"/>
  <c r="B134" i="9"/>
  <c r="B133" i="9"/>
  <c r="B135" i="9" s="1"/>
  <c r="B137" i="9" s="1"/>
  <c r="K131" i="9"/>
  <c r="K126" i="9"/>
  <c r="J126" i="9"/>
  <c r="I126" i="9"/>
  <c r="H126" i="9"/>
  <c r="G126" i="9"/>
  <c r="F126" i="9"/>
  <c r="K124" i="9"/>
  <c r="K123" i="9"/>
  <c r="K122" i="9"/>
  <c r="H117" i="9"/>
  <c r="G117" i="9"/>
  <c r="F117" i="9"/>
  <c r="K115" i="9"/>
  <c r="K114" i="9"/>
  <c r="K113" i="9"/>
  <c r="K112" i="9"/>
  <c r="K111" i="9"/>
  <c r="J110" i="9"/>
  <c r="I110" i="9"/>
  <c r="H110" i="9"/>
  <c r="G110" i="9"/>
  <c r="F110" i="9"/>
  <c r="K110" i="9" s="1"/>
  <c r="J109" i="9"/>
  <c r="J117" i="9" s="1"/>
  <c r="I109" i="9"/>
  <c r="I105" i="9" s="1"/>
  <c r="H109" i="9"/>
  <c r="G109" i="9"/>
  <c r="F109" i="9"/>
  <c r="F106" i="9"/>
  <c r="F105" i="9" s="1"/>
  <c r="H105" i="9"/>
  <c r="G105" i="9"/>
  <c r="I100" i="9"/>
  <c r="G100" i="9"/>
  <c r="F100" i="9"/>
  <c r="D100" i="9"/>
  <c r="C100" i="9"/>
  <c r="B100" i="9"/>
  <c r="I93" i="9"/>
  <c r="G93" i="9"/>
  <c r="G103" i="9" s="1"/>
  <c r="F93" i="9"/>
  <c r="D93" i="9"/>
  <c r="C93" i="9"/>
  <c r="B93" i="9"/>
  <c r="G81" i="9"/>
  <c r="D81" i="9"/>
  <c r="C81" i="9"/>
  <c r="B81" i="9"/>
  <c r="G80" i="9"/>
  <c r="D80" i="9"/>
  <c r="C80" i="9"/>
  <c r="B80" i="9"/>
  <c r="I79" i="9"/>
  <c r="G79" i="9"/>
  <c r="F79" i="9"/>
  <c r="D79" i="9"/>
  <c r="C79" i="9"/>
  <c r="B79" i="9"/>
  <c r="G78" i="9"/>
  <c r="D78" i="9"/>
  <c r="C78" i="9"/>
  <c r="B78" i="9"/>
  <c r="G77" i="9"/>
  <c r="D77" i="9"/>
  <c r="C77" i="9"/>
  <c r="B77" i="9"/>
  <c r="G76" i="9"/>
  <c r="D76" i="9"/>
  <c r="C76" i="9"/>
  <c r="B76" i="9"/>
  <c r="I75" i="9"/>
  <c r="G75" i="9"/>
  <c r="F75" i="9"/>
  <c r="D75" i="9"/>
  <c r="C75" i="9"/>
  <c r="B75" i="9"/>
  <c r="G74" i="9"/>
  <c r="G82" i="9" s="1"/>
  <c r="D74" i="9"/>
  <c r="D82" i="9" s="1"/>
  <c r="C74" i="9"/>
  <c r="C82" i="9" s="1"/>
  <c r="B74" i="9"/>
  <c r="B82" i="9" s="1"/>
  <c r="G68" i="9"/>
  <c r="D68" i="9"/>
  <c r="C68" i="9"/>
  <c r="B68" i="9"/>
  <c r="B70" i="9" s="1"/>
  <c r="I65" i="9"/>
  <c r="F65" i="9"/>
  <c r="I64" i="9"/>
  <c r="F64" i="9"/>
  <c r="I63" i="9"/>
  <c r="F63" i="9"/>
  <c r="I62" i="9"/>
  <c r="F62" i="9"/>
  <c r="I61" i="9"/>
  <c r="F61" i="9"/>
  <c r="I60" i="9"/>
  <c r="F60" i="9"/>
  <c r="I59" i="9"/>
  <c r="I68" i="9" s="1"/>
  <c r="F59" i="9"/>
  <c r="F68" i="9" s="1"/>
  <c r="G53" i="9"/>
  <c r="G70" i="9" s="1"/>
  <c r="F53" i="9"/>
  <c r="D53" i="9"/>
  <c r="C53" i="9"/>
  <c r="B53" i="9"/>
  <c r="I51" i="9"/>
  <c r="F51" i="9"/>
  <c r="I50" i="9"/>
  <c r="F50" i="9"/>
  <c r="I49" i="9"/>
  <c r="F49" i="9"/>
  <c r="I48" i="9"/>
  <c r="F48" i="9"/>
  <c r="I47" i="9"/>
  <c r="I53" i="9" s="1"/>
  <c r="F47" i="9"/>
  <c r="I46" i="9"/>
  <c r="F46" i="9"/>
  <c r="I45" i="9"/>
  <c r="F45" i="9"/>
  <c r="I44" i="9"/>
  <c r="F44" i="9"/>
  <c r="G38" i="9"/>
  <c r="D38" i="9"/>
  <c r="D70" i="9" s="1"/>
  <c r="C38" i="9"/>
  <c r="C70" i="9" s="1"/>
  <c r="B38" i="9"/>
  <c r="I36" i="9"/>
  <c r="F36" i="9"/>
  <c r="I35" i="9"/>
  <c r="F35" i="9"/>
  <c r="I34" i="9"/>
  <c r="F34" i="9"/>
  <c r="I33" i="9"/>
  <c r="F33" i="9"/>
  <c r="I32" i="9"/>
  <c r="F32" i="9"/>
  <c r="F38" i="9" s="1"/>
  <c r="I31" i="9"/>
  <c r="I38" i="9" s="1"/>
  <c r="F31" i="9"/>
  <c r="I30" i="9"/>
  <c r="F30" i="9"/>
  <c r="G25" i="9"/>
  <c r="D25" i="9"/>
  <c r="C25" i="9"/>
  <c r="B25" i="9"/>
  <c r="I23" i="9"/>
  <c r="I81" i="9" s="1"/>
  <c r="F23" i="9"/>
  <c r="F81" i="9" s="1"/>
  <c r="I22" i="9"/>
  <c r="F22" i="9"/>
  <c r="I21" i="9"/>
  <c r="F21" i="9"/>
  <c r="I20" i="9"/>
  <c r="F20" i="9"/>
  <c r="I19" i="9"/>
  <c r="F19" i="9"/>
  <c r="I18" i="9"/>
  <c r="I25" i="9" s="1"/>
  <c r="F18" i="9"/>
  <c r="F25" i="9" s="1"/>
  <c r="G13" i="9"/>
  <c r="D13" i="9"/>
  <c r="C13" i="9"/>
  <c r="B13" i="9"/>
  <c r="I11" i="9"/>
  <c r="I10" i="9"/>
  <c r="F10" i="9"/>
  <c r="I9" i="9"/>
  <c r="I80" i="9" s="1"/>
  <c r="F9" i="9"/>
  <c r="F80" i="9" s="1"/>
  <c r="I8" i="9"/>
  <c r="I78" i="9" s="1"/>
  <c r="F8" i="9"/>
  <c r="F78" i="9" s="1"/>
  <c r="I7" i="9"/>
  <c r="I77" i="9" s="1"/>
  <c r="F7" i="9"/>
  <c r="F77" i="9" s="1"/>
  <c r="I6" i="9"/>
  <c r="I76" i="9" s="1"/>
  <c r="F6" i="9"/>
  <c r="F76" i="9" s="1"/>
  <c r="I5" i="9"/>
  <c r="I74" i="9" s="1"/>
  <c r="I82" i="9" s="1"/>
  <c r="F5" i="9"/>
  <c r="F74" i="9" s="1"/>
  <c r="F82" i="9" s="1"/>
  <c r="J54" i="10"/>
  <c r="I53" i="10"/>
  <c r="H53" i="10"/>
  <c r="G53" i="10"/>
  <c r="F53" i="10"/>
  <c r="F54" i="10" s="1"/>
  <c r="F56" i="10" s="1"/>
  <c r="E53" i="10"/>
  <c r="D53" i="10"/>
  <c r="C53" i="10"/>
  <c r="I52" i="10"/>
  <c r="H52" i="10"/>
  <c r="G52" i="10"/>
  <c r="F52" i="10"/>
  <c r="E52" i="10"/>
  <c r="E54" i="10" s="1"/>
  <c r="E56" i="10" s="1"/>
  <c r="D52" i="10"/>
  <c r="D54" i="10" s="1"/>
  <c r="D56" i="10" s="1"/>
  <c r="C52" i="10"/>
  <c r="C54" i="10" s="1"/>
  <c r="C56" i="10" s="1"/>
  <c r="I51" i="10"/>
  <c r="I54" i="10" s="1"/>
  <c r="I56" i="10" s="1"/>
  <c r="H51" i="10"/>
  <c r="H54" i="10" s="1"/>
  <c r="H56" i="10" s="1"/>
  <c r="G51" i="10"/>
  <c r="G54" i="10" s="1"/>
  <c r="G56" i="10" s="1"/>
  <c r="F51" i="10"/>
  <c r="E51" i="10"/>
  <c r="D51" i="10"/>
  <c r="C51" i="10"/>
  <c r="J45" i="10"/>
  <c r="J56" i="10" s="1"/>
  <c r="I45" i="10"/>
  <c r="H45" i="10"/>
  <c r="G45" i="10"/>
  <c r="F45" i="10"/>
  <c r="E45" i="10"/>
  <c r="D45" i="10"/>
  <c r="C45" i="10"/>
  <c r="J37" i="10"/>
  <c r="I37" i="10"/>
  <c r="H37" i="10"/>
  <c r="G37" i="10"/>
  <c r="F37" i="10"/>
  <c r="E37" i="10"/>
  <c r="D37" i="10"/>
  <c r="C37" i="10"/>
  <c r="J28" i="10"/>
  <c r="I28" i="10"/>
  <c r="H28" i="10"/>
  <c r="G28" i="10"/>
  <c r="F28" i="10"/>
  <c r="E28" i="10"/>
  <c r="D28" i="10"/>
  <c r="C28" i="10"/>
  <c r="J19" i="10"/>
  <c r="I19" i="10"/>
  <c r="H19" i="10"/>
  <c r="G19" i="10"/>
  <c r="F19" i="10"/>
  <c r="E19" i="10"/>
  <c r="D19" i="10"/>
  <c r="C19" i="10"/>
  <c r="J10" i="10"/>
  <c r="I10" i="10"/>
  <c r="H10" i="10"/>
  <c r="G10" i="10"/>
  <c r="F10" i="10"/>
  <c r="E10" i="10"/>
  <c r="D10" i="10"/>
  <c r="C10" i="10"/>
  <c r="C104" i="7" l="1"/>
  <c r="C113" i="7" s="1"/>
  <c r="B8" i="17" s="1"/>
  <c r="B12" i="17" s="1"/>
  <c r="C101" i="7"/>
  <c r="C114" i="7" s="1"/>
  <c r="C8" i="17" s="1"/>
  <c r="C120" i="7"/>
  <c r="C78" i="7"/>
  <c r="C97" i="16"/>
  <c r="C57" i="16"/>
  <c r="C101" i="16"/>
  <c r="E123" i="16"/>
  <c r="E125" i="16" s="1"/>
  <c r="G5" i="15"/>
  <c r="F31" i="8"/>
  <c r="I31" i="8"/>
  <c r="B84" i="9"/>
  <c r="B103" i="9"/>
  <c r="C84" i="9"/>
  <c r="C103" i="9"/>
  <c r="D84" i="9"/>
  <c r="D103" i="9"/>
  <c r="G84" i="9"/>
  <c r="F103" i="9"/>
  <c r="G44" i="8"/>
  <c r="H46" i="8" s="1"/>
  <c r="H43" i="3"/>
  <c r="K105" i="9"/>
  <c r="F70" i="9"/>
  <c r="F84" i="9" s="1"/>
  <c r="I103" i="9"/>
  <c r="G38" i="8"/>
  <c r="H40" i="8" s="1"/>
  <c r="I13" i="9"/>
  <c r="I70" i="9" s="1"/>
  <c r="I84" i="9" s="1"/>
  <c r="K109" i="9"/>
  <c r="K117" i="9" s="1"/>
  <c r="J105" i="9"/>
  <c r="C174" i="9"/>
  <c r="N41" i="3"/>
  <c r="N43" i="3" s="1"/>
  <c r="I117" i="9"/>
  <c r="F13" i="9"/>
  <c r="K106" i="9"/>
  <c r="H7" i="15"/>
  <c r="J7" i="15" s="1"/>
  <c r="K7" i="15" s="1"/>
  <c r="C14" i="3"/>
  <c r="C13" i="3"/>
  <c r="C6" i="3"/>
  <c r="D23" i="3"/>
  <c r="D22" i="3"/>
  <c r="D6" i="3"/>
  <c r="D13" i="3"/>
  <c r="L4" i="3"/>
  <c r="L6" i="3" s="1"/>
  <c r="J4" i="3"/>
  <c r="J6" i="3" s="1"/>
  <c r="I4" i="3"/>
  <c r="I13" i="3" s="1"/>
  <c r="H4" i="3"/>
  <c r="H13" i="3" s="1"/>
  <c r="N4" i="3"/>
  <c r="N6" i="3" s="1"/>
  <c r="G15" i="15"/>
  <c r="K135" i="9"/>
  <c r="L7" i="15"/>
  <c r="L9" i="15" s="1"/>
  <c r="L16" i="15"/>
  <c r="L18" i="15" s="1"/>
  <c r="F4" i="3"/>
  <c r="F14" i="3" s="1"/>
  <c r="G14" i="15"/>
  <c r="H14" i="3"/>
  <c r="H6" i="3"/>
  <c r="I6" i="3"/>
  <c r="C33" i="8"/>
  <c r="M4" i="3"/>
  <c r="H5" i="15"/>
  <c r="E9" i="15"/>
  <c r="H15" i="15"/>
  <c r="J15" i="15" s="1"/>
  <c r="H14" i="15"/>
  <c r="E18" i="15"/>
  <c r="G6" i="15"/>
  <c r="K6" i="15" s="1"/>
  <c r="G16" i="15"/>
  <c r="K16" i="15" s="1"/>
  <c r="C110" i="16" l="1"/>
  <c r="C4" i="17" s="1"/>
  <c r="C12" i="17" s="1"/>
  <c r="C98" i="16"/>
  <c r="C106" i="7"/>
  <c r="C119" i="7"/>
  <c r="C121" i="7" s="1"/>
  <c r="C102" i="7"/>
  <c r="C115" i="7"/>
  <c r="C111" i="16"/>
  <c r="C116" i="16"/>
  <c r="C117" i="16" s="1"/>
  <c r="C102" i="16"/>
  <c r="J14" i="3"/>
  <c r="J13" i="3"/>
  <c r="L14" i="3"/>
  <c r="O105" i="9"/>
  <c r="M105" i="9"/>
  <c r="H39" i="8"/>
  <c r="F13" i="3"/>
  <c r="F21" i="3" s="1"/>
  <c r="H45" i="8"/>
  <c r="H47" i="8" s="1"/>
  <c r="K15" i="15"/>
  <c r="C21" i="3"/>
  <c r="C15" i="3"/>
  <c r="D21" i="3"/>
  <c r="D24" i="3" s="1"/>
  <c r="D15" i="3"/>
  <c r="C23" i="3"/>
  <c r="C22" i="3"/>
  <c r="I14" i="3"/>
  <c r="I22" i="3" s="1"/>
  <c r="L13" i="3"/>
  <c r="L15" i="3" s="1"/>
  <c r="F6" i="3"/>
  <c r="G9" i="15"/>
  <c r="N13" i="3"/>
  <c r="N21" i="3" s="1"/>
  <c r="N14" i="3"/>
  <c r="N22" i="3" s="1"/>
  <c r="G18" i="15"/>
  <c r="F23" i="3"/>
  <c r="F22" i="3"/>
  <c r="H15" i="3"/>
  <c r="H21" i="3"/>
  <c r="H18" i="15"/>
  <c r="J14" i="15"/>
  <c r="H23" i="3"/>
  <c r="H22" i="3"/>
  <c r="M6" i="3"/>
  <c r="M14" i="3"/>
  <c r="M13" i="3"/>
  <c r="J22" i="3"/>
  <c r="J23" i="3"/>
  <c r="I15" i="3"/>
  <c r="I21" i="3"/>
  <c r="J5" i="15"/>
  <c r="H9" i="15"/>
  <c r="J15" i="3"/>
  <c r="J21" i="3"/>
  <c r="L23" i="3"/>
  <c r="L22" i="3"/>
  <c r="N15" i="3" l="1"/>
  <c r="F15" i="3"/>
  <c r="L21" i="3"/>
  <c r="I23" i="3"/>
  <c r="D37" i="8"/>
  <c r="D47" i="8"/>
  <c r="D39" i="8"/>
  <c r="D43" i="8"/>
  <c r="D41" i="8"/>
  <c r="D50" i="8"/>
  <c r="D40" i="8"/>
  <c r="D42" i="8"/>
  <c r="D48" i="8"/>
  <c r="H41" i="8"/>
  <c r="D52" i="8"/>
  <c r="D38" i="8"/>
  <c r="C24" i="3"/>
  <c r="N23" i="3"/>
  <c r="N24" i="3" s="1"/>
  <c r="N25" i="3" s="1"/>
  <c r="J24" i="3"/>
  <c r="H24" i="3"/>
  <c r="F24" i="3"/>
  <c r="J9" i="15"/>
  <c r="K5" i="15"/>
  <c r="K9" i="15" s="1"/>
  <c r="M15" i="3"/>
  <c r="M21" i="3"/>
  <c r="N37" i="3" s="1"/>
  <c r="J18" i="15"/>
  <c r="K14" i="15"/>
  <c r="K18" i="15" s="1"/>
  <c r="I24" i="3"/>
  <c r="L24" i="3"/>
  <c r="M23" i="3"/>
  <c r="M22" i="3"/>
  <c r="D44" i="8" l="1"/>
  <c r="D54" i="8"/>
  <c r="N38" i="3"/>
  <c r="N46" i="3" s="1"/>
  <c r="N45" i="3"/>
  <c r="M24" i="3"/>
  <c r="N39" i="3" l="1"/>
  <c r="D55" i="8"/>
  <c r="N47" i="3"/>
  <c r="E4" i="3" l="1"/>
  <c r="E13" i="3" l="1"/>
  <c r="E14" i="3"/>
  <c r="E6" i="3"/>
  <c r="E23" i="3" l="1"/>
  <c r="E22" i="3"/>
  <c r="E21" i="3"/>
  <c r="E15" i="3"/>
  <c r="E37" i="3" l="1"/>
  <c r="E24" i="3"/>
  <c r="E38" i="3"/>
  <c r="E46" i="3" s="1"/>
  <c r="E128" i="7" l="1"/>
  <c r="E130" i="7" s="1"/>
  <c r="E45" i="3"/>
  <c r="E47" i="3" s="1"/>
  <c r="E39" i="3"/>
  <c r="E124" i="7" l="1"/>
  <c r="E126" i="7" s="1"/>
  <c r="G4" i="3" l="1"/>
  <c r="G13" i="3" l="1"/>
  <c r="G14" i="3"/>
  <c r="G6" i="3"/>
  <c r="G23" i="3" l="1"/>
  <c r="G22" i="3"/>
  <c r="G21" i="3"/>
  <c r="G15" i="3"/>
  <c r="H37" i="3" l="1"/>
  <c r="G24" i="3"/>
  <c r="H38" i="3"/>
  <c r="H46" i="3" s="1"/>
  <c r="H45" i="3" l="1"/>
  <c r="H47" i="3" s="1"/>
  <c r="H39" i="3"/>
  <c r="K4" i="3" l="1"/>
  <c r="K13" i="3" l="1"/>
  <c r="K14" i="3"/>
  <c r="K6" i="3"/>
  <c r="K22" i="3" l="1"/>
  <c r="K23" i="3"/>
  <c r="K21" i="3"/>
  <c r="K15" i="3"/>
  <c r="K37" i="3" l="1"/>
  <c r="K24" i="3"/>
  <c r="K38" i="3"/>
  <c r="K46" i="3" s="1"/>
  <c r="K45" i="3" l="1"/>
  <c r="K47" i="3" s="1"/>
  <c r="K3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Riozen</author>
  </authors>
  <commentList>
    <comment ref="K29" authorId="0" shapeId="0" xr:uid="{FBBF2465-4849-4279-BBCB-EB2F07C44C4D}">
      <text>
        <r>
          <rPr>
            <b/>
            <sz val="9"/>
            <color indexed="81"/>
            <rFont val="Segoe UI"/>
            <family val="2"/>
          </rPr>
          <t>Riozen:</t>
        </r>
        <r>
          <rPr>
            <sz val="9"/>
            <color indexed="81"/>
            <rFont val="Segoe UI"/>
            <family val="2"/>
          </rPr>
          <t xml:space="preserve">
VALOR PLAN ENTRADA DAS COMPRAS S/ DEV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Riozen</author>
  </authors>
  <commentList>
    <comment ref="K27" authorId="0" shapeId="0" xr:uid="{C166B038-B575-4238-9CBB-FB0950CB6884}">
      <text>
        <r>
          <rPr>
            <b/>
            <sz val="9"/>
            <color indexed="81"/>
            <rFont val="Segoe UI"/>
            <family val="2"/>
          </rPr>
          <t>Riozen:</t>
        </r>
        <r>
          <rPr>
            <sz val="9"/>
            <color indexed="81"/>
            <rFont val="Segoe UI"/>
            <family val="2"/>
          </rPr>
          <t xml:space="preserve">
VALOR PLAN ENTRADA DAS COMPRAS S/ DEV
</t>
        </r>
      </text>
    </comment>
  </commentList>
</comments>
</file>

<file path=xl/sharedStrings.xml><?xml version="1.0" encoding="utf-8"?>
<sst xmlns="http://schemas.openxmlformats.org/spreadsheetml/2006/main" count="679" uniqueCount="201">
  <si>
    <t>FATURAMENTO MENSAL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</si>
  <si>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</si>
  <si>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</si>
  <si>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</si>
  <si>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</si>
  <si>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</si>
  <si>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</si>
  <si>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</si>
  <si>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</si>
  <si>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</si>
  <si>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</si>
  <si>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</si>
  <si>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</si>
  <si>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FATURAMENTO TRIBUTÁVEL</t>
  </si>
  <si>
    <t>APURAÇÃO/MÊS</t>
  </si>
  <si>
    <t xml:space="preserve">   PIS</t>
  </si>
  <si>
    <t xml:space="preserve">   COFINS</t>
  </si>
  <si>
    <t>APURAÇÃO</t>
  </si>
  <si>
    <t>CRÉDITO: RECEBIVEIS</t>
  </si>
  <si>
    <t>TOTAL</t>
  </si>
  <si>
    <t>CRÉDITOS: INSUMOS</t>
  </si>
  <si>
    <t xml:space="preserve">   ENERGIA ELÉTRICA</t>
  </si>
  <si>
    <t>CRÉDITOS: IMPORTAÇÃO</t>
  </si>
  <si>
    <t xml:space="preserve">   FORNEC. ESTRANGEIROS</t>
  </si>
  <si>
    <t>RECEITA FINANCEIRA</t>
  </si>
  <si>
    <t xml:space="preserve">   RENDIMENTO APLICAÇÃO</t>
  </si>
  <si>
    <t>RESUMO</t>
  </si>
  <si>
    <t>CRÉDITOS</t>
  </si>
  <si>
    <t>A RECOLHER</t>
  </si>
  <si>
    <t>MEMÓRIA DE CÁLCULO IRPJ E CSLL (LUCRO PRESUMIDO)</t>
  </si>
  <si>
    <t>FATUR. LÍQUIDO (SERVIÇO)</t>
  </si>
  <si>
    <t>FATUR. LÍQUIDO (COMÉRCIO)</t>
  </si>
  <si>
    <t>FATUR. LÍQUIDO (TOTAL)</t>
  </si>
  <si>
    <t>TOTAL RECEITA FINANCEIRA</t>
  </si>
  <si>
    <t>APURAÇÃO DE IRPJ E CSLL</t>
  </si>
  <si>
    <t>SERVIÇO</t>
  </si>
  <si>
    <t xml:space="preserve">   CSLL</t>
  </si>
  <si>
    <t xml:space="preserve">   IRPJ</t>
  </si>
  <si>
    <t>BASE DE CALCULO</t>
  </si>
  <si>
    <t>COMÉRCIO</t>
  </si>
  <si>
    <t xml:space="preserve">   ADICIONAL IRPJ</t>
  </si>
  <si>
    <t>RETIDO</t>
  </si>
  <si>
    <t xml:space="preserve">   NF'S RECEBIDAS (CSLL)</t>
  </si>
  <si>
    <t xml:space="preserve">   NF'S EMITIDAS (IR)</t>
  </si>
  <si>
    <t>RESUMO TRIMESTRAL</t>
  </si>
  <si>
    <t>FATURAMENTO</t>
  </si>
  <si>
    <t xml:space="preserve">VENDA </t>
  </si>
  <si>
    <t>SERVIÇOS</t>
  </si>
  <si>
    <t>OFICINA</t>
  </si>
  <si>
    <t>-</t>
  </si>
  <si>
    <t>VENDA DIRETA</t>
  </si>
  <si>
    <t>DEVOLUÇÃO</t>
  </si>
  <si>
    <t>OUTRAS</t>
  </si>
  <si>
    <t>OUTRAS SAIDAS</t>
  </si>
  <si>
    <t>TOTAL GERAL</t>
  </si>
  <si>
    <t xml:space="preserve">   ALUGUEL PJ</t>
  </si>
  <si>
    <t xml:space="preserve">   DEPRECIAÇÃO MAQUINAS </t>
  </si>
  <si>
    <t xml:space="preserve">   DEPRECIAÇÃO BENFEITORIA</t>
  </si>
  <si>
    <t xml:space="preserve">   DEPRECIAÇÃO VEICULOS TEST DRIVE</t>
  </si>
  <si>
    <t xml:space="preserve">   DEPRECIAÇÃO VEICULOS ALUGUEL</t>
  </si>
  <si>
    <t xml:space="preserve">   ICMS</t>
  </si>
  <si>
    <t>ICMS</t>
  </si>
  <si>
    <t>PERCENTUAL RECEITA NÃO CUMULATIVA</t>
  </si>
  <si>
    <t>COMPENSAÇÃO SEM ICMS</t>
  </si>
  <si>
    <t>BASE PIS</t>
  </si>
  <si>
    <t>ALIQ</t>
  </si>
  <si>
    <t>PIS</t>
  </si>
  <si>
    <t>BASE COFINS</t>
  </si>
  <si>
    <t>COFINS</t>
  </si>
  <si>
    <t>NÃO MONOFÁSICO</t>
  </si>
  <si>
    <t>MONOFÁSICO</t>
  </si>
  <si>
    <t>VEIC NOVO</t>
  </si>
  <si>
    <t>SERV</t>
  </si>
  <si>
    <t>VEIC USADO</t>
  </si>
  <si>
    <t>REDUÇÃO BASE</t>
  </si>
  <si>
    <t xml:space="preserve">PROPORÇÃO </t>
  </si>
  <si>
    <t>empresa</t>
  </si>
  <si>
    <t>CFOP</t>
  </si>
  <si>
    <t>NÃO MONOF</t>
  </si>
  <si>
    <t>MONOFASICO</t>
  </si>
  <si>
    <t>ALIQUOTA</t>
  </si>
  <si>
    <t xml:space="preserve">COMPRA </t>
  </si>
  <si>
    <t>DEV VENDA</t>
  </si>
  <si>
    <t>COMPRA ST</t>
  </si>
  <si>
    <t>DEV VENDA ST</t>
  </si>
  <si>
    <t>COMPRA COMBUSTIVEL</t>
  </si>
  <si>
    <t>DEV VENDA COMBUSTIVEL</t>
  </si>
  <si>
    <t>CHECK</t>
  </si>
  <si>
    <t>FARTURAMENTO</t>
  </si>
  <si>
    <t>CUMULATIVO</t>
  </si>
  <si>
    <t>NÃO CUMULATIVO</t>
  </si>
  <si>
    <t>DESCRIÇÃO</t>
  </si>
  <si>
    <t>TODAS</t>
  </si>
  <si>
    <t xml:space="preserve">DEVOLUÇÃO DE VENDA </t>
  </si>
  <si>
    <t>MÊS</t>
  </si>
  <si>
    <t>EMERGIA ELETRICA</t>
  </si>
  <si>
    <t>peças e acessóros</t>
  </si>
  <si>
    <t>veiculo usado</t>
  </si>
  <si>
    <t>Operação</t>
  </si>
  <si>
    <t>Total Nota</t>
  </si>
  <si>
    <t>Isenta</t>
  </si>
  <si>
    <t xml:space="preserve">Base Pis </t>
  </si>
  <si>
    <t>Base Cofins</t>
  </si>
  <si>
    <t>Valor PIS</t>
  </si>
  <si>
    <t>Valor Cofins</t>
  </si>
  <si>
    <t>PIS+Cofins</t>
  </si>
  <si>
    <t>Total Bruto</t>
  </si>
  <si>
    <t>compra</t>
  </si>
  <si>
    <t>devolução</t>
  </si>
  <si>
    <t>GERAL</t>
  </si>
  <si>
    <t>EFD - DEVOLUÇÃO</t>
  </si>
  <si>
    <t>NF</t>
  </si>
  <si>
    <t>VALOR</t>
  </si>
  <si>
    <t>DEVOLUÇÃO DE VENDA  - BRUTO</t>
  </si>
  <si>
    <t>DEVOLUÇÃO DE VENDA  - BASE PIS E COFINS</t>
  </si>
  <si>
    <t>DEV</t>
  </si>
  <si>
    <t xml:space="preserve">   NF'S DEVOLUÇÃO DE COMPRA</t>
  </si>
  <si>
    <t>Empresa :1 - 01 - RIOZEN PILARES</t>
  </si>
  <si>
    <t>CNPJ:22-134-988/0001-14</t>
  </si>
  <si>
    <t>Período: 01/01/2023 a 31/01/2023</t>
  </si>
  <si>
    <t>Emissão: 20/02/2023 22:48:30</t>
  </si>
  <si>
    <t>Planilha Crédito PIS/COFINS</t>
  </si>
  <si>
    <t>*</t>
  </si>
  <si>
    <t>Empresa</t>
  </si>
  <si>
    <t>Nota Fiscal</t>
  </si>
  <si>
    <t>Serie</t>
  </si>
  <si>
    <t>Data Entrada</t>
  </si>
  <si>
    <t>CST Pis</t>
  </si>
  <si>
    <t>CST Cofins</t>
  </si>
  <si>
    <t xml:space="preserve">Valor ICMS Normal </t>
  </si>
  <si>
    <t>Descrição</t>
  </si>
  <si>
    <t>Cfop</t>
  </si>
  <si>
    <t>Base Pis</t>
  </si>
  <si>
    <t xml:space="preserve">Alíquota Pis </t>
  </si>
  <si>
    <t>Valor Pis</t>
  </si>
  <si>
    <t>Alíquota Cofins</t>
  </si>
  <si>
    <t>Total Recolher</t>
  </si>
  <si>
    <t>Valor ICMS Normal Itens</t>
  </si>
  <si>
    <t>DEVOLUÇÃO DE COMPRA - Normal NC e Monofásico</t>
  </si>
  <si>
    <t>DEVOLUÇÃO DE COMPRA NC</t>
  </si>
  <si>
    <t>CONTA</t>
  </si>
  <si>
    <t>Aliq. Pis</t>
  </si>
  <si>
    <t>Aliq. Cofins</t>
  </si>
  <si>
    <t>Vlr Pis + Vlr Cofins</t>
  </si>
  <si>
    <t>Fat. Bruto</t>
  </si>
  <si>
    <t>Base Icms</t>
  </si>
  <si>
    <t>Valor Icms</t>
  </si>
  <si>
    <t>COMISSOES S/VENDAS DE SEGUROS-VEICULOS N</t>
  </si>
  <si>
    <t>3.5.1.02.01.003</t>
  </si>
  <si>
    <t>ALUGUEIS PROPRIOS DE VEICULOS</t>
  </si>
  <si>
    <t>3.5.4.01.01.005</t>
  </si>
  <si>
    <t>ALUGUEL KINTO SHARE</t>
  </si>
  <si>
    <t>3.5.4.01.01.007</t>
  </si>
  <si>
    <t>NORMAL NÃO CUMULATIVO - RECEITA FINANCEIRA</t>
  </si>
  <si>
    <t>JUROS RECEBIDOS</t>
  </si>
  <si>
    <t>7.1.1.01.01.002</t>
  </si>
  <si>
    <t>DESCONTOS OBTIDOS</t>
  </si>
  <si>
    <t>7.1.1.01.01.003</t>
  </si>
  <si>
    <t>RESGATE SOBRE APLICACOES FINANCEIRAS</t>
  </si>
  <si>
    <t>7.1.1.01.01.012</t>
  </si>
  <si>
    <t>CRÉDITO: EXCLUSÃO DO ICMS ENTRADAS</t>
  </si>
  <si>
    <t>CRÉDITO: EXCLUSÃO DO ICMS SAÍDA</t>
  </si>
  <si>
    <t xml:space="preserve">   PIS - 6912</t>
  </si>
  <si>
    <t xml:space="preserve">   COFINS - 5856</t>
  </si>
  <si>
    <t>OUTRAS RECEITAS OPERACIONAIS</t>
  </si>
  <si>
    <t>OUTRAS VENDAS</t>
  </si>
  <si>
    <t>PEÇAS E ACESSÓRIOS - NORMAL NC</t>
  </si>
  <si>
    <t>OFICINA - NORMAL NC</t>
  </si>
  <si>
    <t>COMISSÃO - NORMAL NC</t>
  </si>
  <si>
    <t/>
  </si>
  <si>
    <t>FORNECEDORES</t>
  </si>
  <si>
    <t>DEPRECIAÇÃOBENFEITORIA</t>
  </si>
  <si>
    <t>DEPRECIAÇÃOMAQUINAS</t>
  </si>
  <si>
    <t>DEPRECIAÇÃOVEICULOSTESTDRIVE</t>
  </si>
  <si>
    <t>ENERGIAELÉTRICA</t>
  </si>
  <si>
    <t>ALUGUELGABINAL</t>
  </si>
  <si>
    <t>ALUGUELS.J.DEMERITI</t>
  </si>
  <si>
    <t>ALUGUELBARRAMANSA</t>
  </si>
  <si>
    <t>ALUGUELCAMPOGRANDE</t>
  </si>
  <si>
    <t>DESPESASKINTOSHARE</t>
  </si>
  <si>
    <t>PREPARACAODEENTREGA</t>
  </si>
  <si>
    <t>REPAROSERECONDICIONAMENTOS</t>
  </si>
  <si>
    <t>DESPVENDA/P&amp;A-MANUTENÇÃOEGARANTIA</t>
  </si>
  <si>
    <t>MEDICINAESEGDOTRABALHO</t>
  </si>
  <si>
    <t>MATERIAISDELIMPEZA</t>
  </si>
  <si>
    <t>DESPESASCOMUNIFORMES</t>
  </si>
  <si>
    <t>ALUGUELEARRENDDEEQUIPAMENTOS</t>
  </si>
  <si>
    <t>DESPESASCOMCOMBUSTIVEIS</t>
  </si>
  <si>
    <t>MANUTENÇÃODEMAQUINASEEQUIP</t>
  </si>
  <si>
    <t>SERVIÇOSDELIMPEZA</t>
  </si>
  <si>
    <t>COLETADELIXO/RECICLAGEM</t>
  </si>
  <si>
    <t>DESPESASC/CHAVEIRO</t>
  </si>
  <si>
    <t>SERVIÇOSDETERCEIROS</t>
  </si>
  <si>
    <t>PROTEÇÃO/COMBATEAINCENDIO</t>
  </si>
  <si>
    <t>DESPESASCOMIPVA</t>
  </si>
  <si>
    <t>GARANTIASRECUSADAS</t>
  </si>
  <si>
    <t>VEICULOS USADOS - NORMAL C</t>
  </si>
  <si>
    <t>Bonus</t>
  </si>
  <si>
    <t>Aluguel Alvorada (Pj)</t>
  </si>
  <si>
    <t>Aluguel Recreio (Pj)</t>
  </si>
  <si>
    <t>Aluguel Lexus (Pj)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</si>
</sst>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0.00000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9"/>
      <color theme="0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sz val="9"/>
      <color rgb="FF008000"/>
      <name val="Calibri Light"/>
      <family val="2"/>
      <scheme val="major"/>
    </font>
    <font>
      <b/>
      <sz val="9"/>
      <color rgb="FFFF0000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name val="Calibri Light"/>
      <family val="2"/>
      <scheme val="major"/>
    </font>
    <font>
      <b/>
      <sz val="9"/>
      <color theme="9" tint="-0.249977111117893"/>
      <name val="Calibri Light"/>
      <family val="2"/>
      <scheme val="major"/>
    </font>
    <font>
      <sz val="9"/>
      <color theme="9" tint="-0.499984740745262"/>
      <name val="Calibri Light"/>
      <family val="2"/>
      <scheme val="major"/>
    </font>
    <font>
      <sz val="9"/>
      <color rgb="FF446A2C"/>
      <name val="Calibri Light"/>
      <family val="2"/>
      <scheme val="major"/>
    </font>
    <font>
      <b/>
      <sz val="9"/>
      <color rgb="FF446A2C"/>
      <name val="Calibri Light"/>
      <family val="2"/>
      <scheme val="major"/>
    </font>
    <font>
      <b/>
      <i/>
      <sz val="9"/>
      <name val="Calibri Light"/>
      <family val="2"/>
      <scheme val="major"/>
    </font>
    <font>
      <sz val="9"/>
      <color theme="0"/>
      <name val="Calibri Light"/>
      <family val="2"/>
      <scheme val="major"/>
    </font>
    <font>
      <b/>
      <sz val="9"/>
      <color theme="9" tint="-0.499984740745262"/>
      <name val="Calibri Light"/>
      <family val="2"/>
      <scheme val="major"/>
    </font>
    <font>
      <b/>
      <i/>
      <sz val="9"/>
      <color theme="9" tint="-0.249977111117893"/>
      <name val="Calibri Light"/>
      <family val="2"/>
      <scheme val="major"/>
    </font>
    <font>
      <i/>
      <sz val="9"/>
      <color theme="1"/>
      <name val="Calibri Light"/>
      <family val="2"/>
      <scheme val="major"/>
    </font>
    <font>
      <b/>
      <u/>
      <sz val="14"/>
      <color theme="4" tint="-0.499984740745262"/>
      <name val="Calibri Light"/>
      <family val="2"/>
      <scheme val="maj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u/>
      <sz val="11"/>
      <color theme="10"/>
      <name val="Calibri"/>
      <family val="2"/>
      <scheme val="minor"/>
    </font>
    <font>
      <sz val="9"/>
      <color rgb="FFFF0000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5" fillId="0" borderId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44" fontId="22" fillId="0" borderId="0" applyFont="0" applyFill="0" applyBorder="0" applyAlignment="0" applyProtection="0"/>
  </cellStyleXfs>
  <cellXfs count="353">
    <xf numFmtId="0" fontId="0" fillId="0" borderId="0" xfId="0"/>
    <xf numFmtId="0" fontId="2" fillId="2" borderId="0" xfId="0" applyFont="1" applyFill="1"/>
    <xf numFmtId="0" fontId="5" fillId="2" borderId="0" xfId="0" applyFont="1" applyFill="1"/>
    <xf numFmtId="43" fontId="4" fillId="3" borderId="1" xfId="1" applyFont="1" applyFill="1" applyBorder="1" applyAlignment="1">
      <alignment horizontal="center"/>
    </xf>
    <xf numFmtId="43" fontId="4" fillId="4" borderId="0" xfId="1" applyFont="1" applyFill="1" applyAlignment="1">
      <alignment horizontal="center"/>
    </xf>
    <xf numFmtId="43" fontId="4" fillId="3" borderId="2" xfId="1" applyFont="1" applyFill="1" applyBorder="1" applyAlignment="1">
      <alignment horizontal="center"/>
    </xf>
    <xf numFmtId="43" fontId="5" fillId="4" borderId="0" xfId="1" applyFont="1" applyFill="1"/>
    <xf numFmtId="43" fontId="5" fillId="4" borderId="1" xfId="1" applyFont="1" applyFill="1" applyBorder="1"/>
    <xf numFmtId="0" fontId="5" fillId="2" borderId="1" xfId="0" applyFont="1" applyFill="1" applyBorder="1"/>
    <xf numFmtId="43" fontId="6" fillId="4" borderId="0" xfId="1" applyFont="1" applyFill="1"/>
    <xf numFmtId="0" fontId="6" fillId="2" borderId="0" xfId="0" applyFont="1" applyFill="1"/>
    <xf numFmtId="43" fontId="5" fillId="2" borderId="0" xfId="1" applyFont="1" applyFill="1"/>
    <xf numFmtId="10" fontId="11" fillId="4" borderId="0" xfId="2" applyNumberFormat="1" applyFont="1" applyFill="1"/>
    <xf numFmtId="10" fontId="11" fillId="3" borderId="2" xfId="2" applyNumberFormat="1" applyFont="1" applyFill="1" applyBorder="1"/>
    <xf numFmtId="10" fontId="11" fillId="4" borderId="1" xfId="2" applyNumberFormat="1" applyFont="1" applyFill="1" applyBorder="1"/>
    <xf numFmtId="10" fontId="11" fillId="2" borderId="0" xfId="2" applyNumberFormat="1" applyFont="1" applyFill="1"/>
    <xf numFmtId="43" fontId="5" fillId="4" borderId="0" xfId="1" applyFont="1" applyFill="1" applyAlignment="1">
      <alignment horizontal="center"/>
    </xf>
    <xf numFmtId="10" fontId="11" fillId="4" borderId="3" xfId="2" applyNumberFormat="1" applyFont="1" applyFill="1" applyBorder="1"/>
    <xf numFmtId="43" fontId="5" fillId="4" borderId="3" xfId="1" applyFont="1" applyFill="1" applyBorder="1"/>
    <xf numFmtId="10" fontId="11" fillId="4" borderId="4" xfId="2" applyNumberFormat="1" applyFont="1" applyFill="1" applyBorder="1"/>
    <xf numFmtId="43" fontId="5" fillId="4" borderId="4" xfId="1" applyFont="1" applyFill="1" applyBorder="1"/>
    <xf numFmtId="43" fontId="6" fillId="4" borderId="4" xfId="1" applyFont="1" applyFill="1" applyBorder="1"/>
    <xf numFmtId="43" fontId="5" fillId="4" borderId="1" xfId="1" applyFont="1" applyFill="1" applyBorder="1" applyAlignment="1">
      <alignment horizontal="center"/>
    </xf>
    <xf numFmtId="43" fontId="5" fillId="4" borderId="4" xfId="1" applyFont="1" applyFill="1" applyBorder="1" applyAlignment="1">
      <alignment horizontal="center"/>
    </xf>
    <xf numFmtId="43" fontId="6" fillId="4" borderId="0" xfId="1" applyFont="1" applyFill="1" applyAlignment="1">
      <alignment horizontal="center"/>
    </xf>
    <xf numFmtId="43" fontId="7" fillId="4" borderId="0" xfId="1" applyFont="1" applyFill="1" applyAlignment="1">
      <alignment horizontal="center"/>
    </xf>
    <xf numFmtId="43" fontId="6" fillId="4" borderId="3" xfId="1" applyFont="1" applyFill="1" applyBorder="1" applyAlignment="1">
      <alignment horizontal="center"/>
    </xf>
    <xf numFmtId="43" fontId="9" fillId="4" borderId="0" xfId="1" applyFont="1" applyFill="1" applyAlignment="1">
      <alignment horizontal="center"/>
    </xf>
    <xf numFmtId="43" fontId="10" fillId="4" borderId="0" xfId="1" applyFont="1" applyFill="1" applyAlignment="1">
      <alignment horizontal="center"/>
    </xf>
    <xf numFmtId="43" fontId="5" fillId="2" borderId="0" xfId="1" applyFont="1" applyFill="1" applyAlignment="1">
      <alignment horizontal="center"/>
    </xf>
    <xf numFmtId="0" fontId="4" fillId="3" borderId="9" xfId="0" applyFont="1" applyFill="1" applyBorder="1" applyAlignment="1">
      <alignment horizontal="center"/>
    </xf>
    <xf numFmtId="43" fontId="5" fillId="4" borderId="12" xfId="1" applyFont="1" applyFill="1" applyBorder="1"/>
    <xf numFmtId="43" fontId="5" fillId="4" borderId="14" xfId="1" applyFont="1" applyFill="1" applyBorder="1"/>
    <xf numFmtId="10" fontId="11" fillId="4" borderId="5" xfId="2" applyNumberFormat="1" applyFont="1" applyFill="1" applyBorder="1"/>
    <xf numFmtId="43" fontId="6" fillId="4" borderId="5" xfId="1" applyFont="1" applyFill="1" applyBorder="1" applyAlignment="1">
      <alignment horizontal="center"/>
    </xf>
    <xf numFmtId="43" fontId="6" fillId="4" borderId="5" xfId="1" applyFont="1" applyFill="1" applyBorder="1"/>
    <xf numFmtId="43" fontId="6" fillId="4" borderId="16" xfId="1" applyFont="1" applyFill="1" applyBorder="1"/>
    <xf numFmtId="43" fontId="6" fillId="4" borderId="8" xfId="1" applyFont="1" applyFill="1" applyBorder="1"/>
    <xf numFmtId="43" fontId="5" fillId="4" borderId="18" xfId="1" applyFont="1" applyFill="1" applyBorder="1"/>
    <xf numFmtId="43" fontId="6" fillId="4" borderId="4" xfId="1" applyFont="1" applyFill="1" applyBorder="1" applyAlignment="1">
      <alignment horizontal="center"/>
    </xf>
    <xf numFmtId="43" fontId="10" fillId="4" borderId="1" xfId="1" applyFont="1" applyFill="1" applyBorder="1" applyAlignment="1">
      <alignment horizontal="center"/>
    </xf>
    <xf numFmtId="43" fontId="4" fillId="3" borderId="10" xfId="1" applyFont="1" applyFill="1" applyBorder="1" applyAlignment="1">
      <alignment horizontal="center"/>
    </xf>
    <xf numFmtId="43" fontId="4" fillId="4" borderId="12" xfId="1" applyFont="1" applyFill="1" applyBorder="1" applyAlignment="1">
      <alignment horizontal="center"/>
    </xf>
    <xf numFmtId="43" fontId="5" fillId="4" borderId="8" xfId="1" applyFont="1" applyFill="1" applyBorder="1"/>
    <xf numFmtId="43" fontId="6" fillId="4" borderId="12" xfId="1" applyFont="1" applyFill="1" applyBorder="1"/>
    <xf numFmtId="10" fontId="11" fillId="2" borderId="3" xfId="2" applyNumberFormat="1" applyFont="1" applyFill="1" applyBorder="1"/>
    <xf numFmtId="43" fontId="5" fillId="2" borderId="3" xfId="1" applyFont="1" applyFill="1" applyBorder="1" applyAlignment="1">
      <alignment horizontal="center"/>
    </xf>
    <xf numFmtId="43" fontId="5" fillId="2" borderId="3" xfId="1" applyFont="1" applyFill="1" applyBorder="1"/>
    <xf numFmtId="43" fontId="8" fillId="2" borderId="3" xfId="1" applyFont="1" applyFill="1" applyBorder="1" applyAlignment="1">
      <alignment horizontal="center"/>
    </xf>
    <xf numFmtId="43" fontId="6" fillId="2" borderId="3" xfId="1" applyFont="1" applyFill="1" applyBorder="1"/>
    <xf numFmtId="43" fontId="6" fillId="2" borderId="3" xfId="1" applyFont="1" applyFill="1" applyBorder="1" applyAlignment="1">
      <alignment horizontal="center"/>
    </xf>
    <xf numFmtId="43" fontId="12" fillId="4" borderId="0" xfId="1" applyFont="1" applyFill="1" applyAlignment="1">
      <alignment horizontal="center"/>
    </xf>
    <xf numFmtId="43" fontId="13" fillId="4" borderId="0" xfId="1" applyFont="1" applyFill="1" applyAlignment="1">
      <alignment horizontal="center"/>
    </xf>
    <xf numFmtId="10" fontId="14" fillId="4" borderId="1" xfId="2" applyNumberFormat="1" applyFont="1" applyFill="1" applyBorder="1"/>
    <xf numFmtId="43" fontId="13" fillId="4" borderId="1" xfId="1" applyFont="1" applyFill="1" applyBorder="1" applyAlignment="1">
      <alignment horizontal="center"/>
    </xf>
    <xf numFmtId="43" fontId="13" fillId="4" borderId="1" xfId="1" applyFont="1" applyFill="1" applyBorder="1"/>
    <xf numFmtId="43" fontId="13" fillId="4" borderId="14" xfId="1" applyFont="1" applyFill="1" applyBorder="1"/>
    <xf numFmtId="0" fontId="13" fillId="2" borderId="0" xfId="0" applyFont="1" applyFill="1"/>
    <xf numFmtId="10" fontId="14" fillId="4" borderId="0" xfId="2" applyNumberFormat="1" applyFont="1" applyFill="1"/>
    <xf numFmtId="43" fontId="13" fillId="4" borderId="0" xfId="1" applyFont="1" applyFill="1"/>
    <xf numFmtId="0" fontId="9" fillId="4" borderId="11" xfId="0" applyFont="1" applyFill="1" applyBorder="1" applyAlignment="1">
      <alignment horizontal="center"/>
    </xf>
    <xf numFmtId="0" fontId="10" fillId="4" borderId="11" xfId="0" applyFont="1" applyFill="1" applyBorder="1"/>
    <xf numFmtId="0" fontId="10" fillId="4" borderId="13" xfId="0" applyFont="1" applyFill="1" applyBorder="1"/>
    <xf numFmtId="0" fontId="9" fillId="4" borderId="15" xfId="0" applyFont="1" applyFill="1" applyBorder="1"/>
    <xf numFmtId="0" fontId="10" fillId="2" borderId="3" xfId="0" applyFont="1" applyFill="1" applyBorder="1"/>
    <xf numFmtId="0" fontId="9" fillId="4" borderId="7" xfId="0" applyFont="1" applyFill="1" applyBorder="1"/>
    <xf numFmtId="0" fontId="10" fillId="4" borderId="13" xfId="0" applyFont="1" applyFill="1" applyBorder="1" applyAlignment="1">
      <alignment horizontal="left"/>
    </xf>
    <xf numFmtId="0" fontId="9" fillId="4" borderId="11" xfId="0" applyFont="1" applyFill="1" applyBorder="1" applyAlignment="1">
      <alignment horizontal="left"/>
    </xf>
    <xf numFmtId="0" fontId="10" fillId="4" borderId="11" xfId="0" applyFont="1" applyFill="1" applyBorder="1" applyAlignment="1">
      <alignment horizontal="left"/>
    </xf>
    <xf numFmtId="0" fontId="9" fillId="4" borderId="17" xfId="0" applyFont="1" applyFill="1" applyBorder="1"/>
    <xf numFmtId="10" fontId="9" fillId="2" borderId="3" xfId="0" applyNumberFormat="1" applyFont="1" applyFill="1" applyBorder="1" applyAlignment="1">
      <alignment horizontal="center"/>
    </xf>
    <xf numFmtId="10" fontId="9" fillId="4" borderId="7" xfId="0" applyNumberFormat="1" applyFont="1" applyFill="1" applyBorder="1" applyAlignment="1">
      <alignment horizontal="left"/>
    </xf>
    <xf numFmtId="10" fontId="9" fillId="4" borderId="17" xfId="0" applyNumberFormat="1" applyFont="1" applyFill="1" applyBorder="1" applyAlignment="1">
      <alignment horizontal="left"/>
    </xf>
    <xf numFmtId="10" fontId="9" fillId="2" borderId="3" xfId="0" applyNumberFormat="1" applyFont="1" applyFill="1" applyBorder="1" applyAlignment="1">
      <alignment horizontal="left"/>
    </xf>
    <xf numFmtId="10" fontId="10" fillId="4" borderId="11" xfId="0" applyNumberFormat="1" applyFont="1" applyFill="1" applyBorder="1" applyAlignment="1">
      <alignment horizontal="left"/>
    </xf>
    <xf numFmtId="0" fontId="9" fillId="4" borderId="7" xfId="0" applyFont="1" applyFill="1" applyBorder="1" applyAlignment="1">
      <alignment horizontal="left"/>
    </xf>
    <xf numFmtId="0" fontId="9" fillId="4" borderId="17" xfId="0" applyFont="1" applyFill="1" applyBorder="1" applyAlignment="1">
      <alignment horizontal="left"/>
    </xf>
    <xf numFmtId="0" fontId="9" fillId="2" borderId="3" xfId="0" applyFont="1" applyFill="1" applyBorder="1"/>
    <xf numFmtId="43" fontId="9" fillId="4" borderId="11" xfId="0" applyNumberFormat="1" applyFont="1" applyFill="1" applyBorder="1"/>
    <xf numFmtId="43" fontId="9" fillId="4" borderId="17" xfId="0" applyNumberFormat="1" applyFont="1" applyFill="1" applyBorder="1"/>
    <xf numFmtId="0" fontId="10" fillId="2" borderId="0" xfId="0" applyFont="1" applyFill="1"/>
    <xf numFmtId="43" fontId="4" fillId="3" borderId="14" xfId="1" applyFont="1" applyFill="1" applyBorder="1" applyAlignment="1">
      <alignment horizontal="center"/>
    </xf>
    <xf numFmtId="0" fontId="10" fillId="4" borderId="0" xfId="0" applyFont="1" applyFill="1"/>
    <xf numFmtId="0" fontId="10" fillId="4" borderId="1" xfId="0" applyFont="1" applyFill="1" applyBorder="1"/>
    <xf numFmtId="165" fontId="11" fillId="4" borderId="0" xfId="2" applyNumberFormat="1" applyFont="1" applyFill="1"/>
    <xf numFmtId="165" fontId="11" fillId="4" borderId="1" xfId="2" applyNumberFormat="1" applyFont="1" applyFill="1" applyBorder="1"/>
    <xf numFmtId="165" fontId="11" fillId="4" borderId="3" xfId="2" applyNumberFormat="1" applyFont="1" applyFill="1" applyBorder="1"/>
    <xf numFmtId="165" fontId="11" fillId="4" borderId="5" xfId="2" applyNumberFormat="1" applyFont="1" applyFill="1" applyBorder="1"/>
    <xf numFmtId="165" fontId="11" fillId="2" borderId="3" xfId="2" applyNumberFormat="1" applyFont="1" applyFill="1" applyBorder="1"/>
    <xf numFmtId="165" fontId="11" fillId="4" borderId="4" xfId="2" applyNumberFormat="1" applyFont="1" applyFill="1" applyBorder="1"/>
    <xf numFmtId="165" fontId="11" fillId="2" borderId="0" xfId="2" applyNumberFormat="1" applyFont="1" applyFill="1"/>
    <xf numFmtId="0" fontId="15" fillId="4" borderId="11" xfId="0" applyFont="1" applyFill="1" applyBorder="1" applyAlignment="1">
      <alignment horizontal="center"/>
    </xf>
    <xf numFmtId="165" fontId="12" fillId="4" borderId="0" xfId="2" applyNumberFormat="1" applyFont="1" applyFill="1"/>
    <xf numFmtId="43" fontId="12" fillId="4" borderId="12" xfId="1" applyFont="1" applyFill="1" applyBorder="1" applyAlignment="1">
      <alignment horizontal="center"/>
    </xf>
    <xf numFmtId="0" fontId="12" fillId="2" borderId="0" xfId="0" applyFont="1" applyFill="1"/>
    <xf numFmtId="165" fontId="12" fillId="4" borderId="1" xfId="2" applyNumberFormat="1" applyFont="1" applyFill="1" applyBorder="1"/>
    <xf numFmtId="43" fontId="12" fillId="4" borderId="1" xfId="1" applyFont="1" applyFill="1" applyBorder="1" applyAlignment="1">
      <alignment horizontal="center"/>
    </xf>
    <xf numFmtId="43" fontId="12" fillId="4" borderId="14" xfId="1" applyFont="1" applyFill="1" applyBorder="1" applyAlignment="1">
      <alignment horizontal="center"/>
    </xf>
    <xf numFmtId="0" fontId="12" fillId="4" borderId="11" xfId="0" applyFont="1" applyFill="1" applyBorder="1"/>
    <xf numFmtId="0" fontId="12" fillId="4" borderId="13" xfId="0" applyFont="1" applyFill="1" applyBorder="1" applyAlignment="1">
      <alignment horizontal="left"/>
    </xf>
    <xf numFmtId="165" fontId="17" fillId="4" borderId="1" xfId="2" applyNumberFormat="1" applyFont="1" applyFill="1" applyBorder="1"/>
    <xf numFmtId="0" fontId="12" fillId="4" borderId="13" xfId="0" applyFont="1" applyFill="1" applyBorder="1"/>
    <xf numFmtId="43" fontId="6" fillId="4" borderId="18" xfId="1" applyFont="1" applyFill="1" applyBorder="1" applyAlignment="1">
      <alignment horizontal="center"/>
    </xf>
    <xf numFmtId="43" fontId="5" fillId="4" borderId="12" xfId="1" applyFont="1" applyFill="1" applyBorder="1" applyAlignment="1">
      <alignment horizontal="center"/>
    </xf>
    <xf numFmtId="43" fontId="5" fillId="4" borderId="14" xfId="1" applyFont="1" applyFill="1" applyBorder="1" applyAlignment="1">
      <alignment horizontal="center"/>
    </xf>
    <xf numFmtId="43" fontId="6" fillId="4" borderId="16" xfId="1" applyFont="1" applyFill="1" applyBorder="1" applyAlignment="1">
      <alignment horizontal="center"/>
    </xf>
    <xf numFmtId="43" fontId="5" fillId="4" borderId="8" xfId="1" applyFont="1" applyFill="1" applyBorder="1" applyAlignment="1">
      <alignment horizontal="center"/>
    </xf>
    <xf numFmtId="43" fontId="6" fillId="4" borderId="12" xfId="1" applyFont="1" applyFill="1" applyBorder="1" applyAlignment="1">
      <alignment horizontal="center"/>
    </xf>
    <xf numFmtId="43" fontId="7" fillId="4" borderId="12" xfId="1" applyFont="1" applyFill="1" applyBorder="1" applyAlignment="1">
      <alignment horizontal="center"/>
    </xf>
    <xf numFmtId="164" fontId="10" fillId="4" borderId="11" xfId="0" applyNumberFormat="1" applyFont="1" applyFill="1" applyBorder="1"/>
    <xf numFmtId="164" fontId="11" fillId="4" borderId="0" xfId="2" applyNumberFormat="1" applyFont="1" applyFill="1"/>
    <xf numFmtId="164" fontId="5" fillId="4" borderId="0" xfId="1" applyNumberFormat="1" applyFont="1" applyFill="1" applyAlignment="1">
      <alignment horizontal="center"/>
    </xf>
    <xf numFmtId="164" fontId="5" fillId="4" borderId="12" xfId="1" applyNumberFormat="1" applyFont="1" applyFill="1" applyBorder="1" applyAlignment="1">
      <alignment horizontal="center"/>
    </xf>
    <xf numFmtId="164" fontId="5" fillId="2" borderId="0" xfId="0" applyNumberFormat="1" applyFont="1" applyFill="1"/>
    <xf numFmtId="164" fontId="10" fillId="4" borderId="1" xfId="0" applyNumberFormat="1" applyFont="1" applyFill="1" applyBorder="1"/>
    <xf numFmtId="164" fontId="11" fillId="4" borderId="1" xfId="2" applyNumberFormat="1" applyFont="1" applyFill="1" applyBorder="1"/>
    <xf numFmtId="164" fontId="5" fillId="4" borderId="1" xfId="1" applyNumberFormat="1" applyFont="1" applyFill="1" applyBorder="1" applyAlignment="1">
      <alignment horizontal="center"/>
    </xf>
    <xf numFmtId="164" fontId="5" fillId="4" borderId="14" xfId="1" applyNumberFormat="1" applyFont="1" applyFill="1" applyBorder="1" applyAlignment="1">
      <alignment horizontal="center"/>
    </xf>
    <xf numFmtId="164" fontId="9" fillId="4" borderId="11" xfId="0" applyNumberFormat="1" applyFont="1" applyFill="1" applyBorder="1"/>
    <xf numFmtId="164" fontId="6" fillId="4" borderId="0" xfId="1" applyNumberFormat="1" applyFont="1" applyFill="1" applyAlignment="1">
      <alignment horizontal="center"/>
    </xf>
    <xf numFmtId="164" fontId="6" fillId="4" borderId="12" xfId="1" applyNumberFormat="1" applyFont="1" applyFill="1" applyBorder="1" applyAlignment="1">
      <alignment horizontal="center"/>
    </xf>
    <xf numFmtId="164" fontId="10" fillId="4" borderId="11" xfId="0" applyNumberFormat="1" applyFont="1" applyFill="1" applyBorder="1" applyAlignment="1">
      <alignment horizontal="left"/>
    </xf>
    <xf numFmtId="164" fontId="5" fillId="4" borderId="0" xfId="1" applyNumberFormat="1" applyFont="1" applyFill="1"/>
    <xf numFmtId="164" fontId="5" fillId="4" borderId="12" xfId="1" applyNumberFormat="1" applyFont="1" applyFill="1" applyBorder="1"/>
    <xf numFmtId="164" fontId="10" fillId="4" borderId="13" xfId="0" applyNumberFormat="1" applyFont="1" applyFill="1" applyBorder="1" applyAlignment="1">
      <alignment horizontal="left"/>
    </xf>
    <xf numFmtId="164" fontId="5" fillId="4" borderId="1" xfId="1" applyNumberFormat="1" applyFont="1" applyFill="1" applyBorder="1"/>
    <xf numFmtId="164" fontId="5" fillId="4" borderId="14" xfId="1" applyNumberFormat="1" applyFont="1" applyFill="1" applyBorder="1"/>
    <xf numFmtId="43" fontId="15" fillId="4" borderId="7" xfId="0" applyNumberFormat="1" applyFont="1" applyFill="1" applyBorder="1" applyAlignment="1">
      <alignment horizontal="center"/>
    </xf>
    <xf numFmtId="43" fontId="19" fillId="4" borderId="4" xfId="1" applyFont="1" applyFill="1" applyBorder="1" applyAlignment="1">
      <alignment horizontal="center"/>
    </xf>
    <xf numFmtId="10" fontId="18" fillId="4" borderId="4" xfId="2" applyNumberFormat="1" applyFont="1" applyFill="1" applyBorder="1" applyAlignment="1">
      <alignment horizontal="center"/>
    </xf>
    <xf numFmtId="43" fontId="19" fillId="4" borderId="8" xfId="1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3" fillId="4" borderId="22" xfId="0" applyFont="1" applyFill="1" applyBorder="1"/>
    <xf numFmtId="10" fontId="11" fillId="3" borderId="6" xfId="2" applyNumberFormat="1" applyFont="1" applyFill="1" applyBorder="1"/>
    <xf numFmtId="43" fontId="4" fillId="3" borderId="6" xfId="1" applyFont="1" applyFill="1" applyBorder="1" applyAlignment="1">
      <alignment horizontal="center"/>
    </xf>
    <xf numFmtId="43" fontId="4" fillId="3" borderId="20" xfId="1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65" fontId="4" fillId="3" borderId="1" xfId="2" applyNumberFormat="1" applyFont="1" applyFill="1" applyBorder="1"/>
    <xf numFmtId="0" fontId="16" fillId="2" borderId="0" xfId="0" applyFont="1" applyFill="1"/>
    <xf numFmtId="165" fontId="4" fillId="3" borderId="2" xfId="2" applyNumberFormat="1" applyFont="1" applyFill="1" applyBorder="1"/>
    <xf numFmtId="0" fontId="9" fillId="2" borderId="0" xfId="0" applyFont="1" applyFill="1"/>
    <xf numFmtId="165" fontId="11" fillId="2" borderId="0" xfId="2" applyNumberFormat="1" applyFont="1" applyFill="1" applyBorder="1"/>
    <xf numFmtId="43" fontId="6" fillId="2" borderId="0" xfId="1" applyFont="1" applyFill="1" applyBorder="1" applyAlignment="1">
      <alignment horizontal="center"/>
    </xf>
    <xf numFmtId="0" fontId="17" fillId="4" borderId="23" xfId="0" applyFont="1" applyFill="1" applyBorder="1" applyAlignment="1">
      <alignment horizontal="left"/>
    </xf>
    <xf numFmtId="165" fontId="17" fillId="4" borderId="24" xfId="2" applyNumberFormat="1" applyFont="1" applyFill="1" applyBorder="1"/>
    <xf numFmtId="43" fontId="17" fillId="4" borderId="24" xfId="1" applyFont="1" applyFill="1" applyBorder="1" applyAlignment="1">
      <alignment horizontal="center"/>
    </xf>
    <xf numFmtId="43" fontId="17" fillId="4" borderId="25" xfId="1" applyFont="1" applyFill="1" applyBorder="1" applyAlignment="1">
      <alignment horizontal="center"/>
    </xf>
    <xf numFmtId="44" fontId="0" fillId="0" borderId="26" xfId="3" applyFont="1" applyBorder="1"/>
    <xf numFmtId="10" fontId="0" fillId="0" borderId="26" xfId="0" applyNumberFormat="1" applyBorder="1"/>
    <xf numFmtId="44" fontId="0" fillId="0" borderId="0" xfId="3" applyFont="1"/>
    <xf numFmtId="9" fontId="0" fillId="0" borderId="26" xfId="0" applyNumberFormat="1" applyBorder="1"/>
    <xf numFmtId="0" fontId="22" fillId="0" borderId="0" xfId="0" applyFont="1"/>
    <xf numFmtId="44" fontId="21" fillId="4" borderId="26" xfId="3" applyFont="1" applyFill="1" applyBorder="1"/>
    <xf numFmtId="44" fontId="0" fillId="0" borderId="0" xfId="0" applyNumberFormat="1"/>
    <xf numFmtId="0" fontId="21" fillId="0" borderId="0" xfId="0" applyFont="1"/>
    <xf numFmtId="10" fontId="11" fillId="2" borderId="0" xfId="2" applyNumberFormat="1" applyFont="1" applyFill="1" applyBorder="1"/>
    <xf numFmtId="43" fontId="5" fillId="2" borderId="0" xfId="1" applyFont="1" applyFill="1" applyBorder="1" applyAlignment="1">
      <alignment horizontal="center"/>
    </xf>
    <xf numFmtId="43" fontId="5" fillId="2" borderId="0" xfId="1" applyFont="1" applyFill="1" applyBorder="1"/>
    <xf numFmtId="10" fontId="14" fillId="4" borderId="0" xfId="2" applyNumberFormat="1" applyFont="1" applyFill="1" applyBorder="1"/>
    <xf numFmtId="43" fontId="13" fillId="4" borderId="0" xfId="1" applyFont="1" applyFill="1" applyBorder="1"/>
    <xf numFmtId="43" fontId="6" fillId="4" borderId="3" xfId="1" applyFont="1" applyFill="1" applyBorder="1"/>
    <xf numFmtId="10" fontId="9" fillId="4" borderId="0" xfId="0" applyNumberFormat="1" applyFont="1" applyFill="1" applyAlignment="1">
      <alignment horizontal="center"/>
    </xf>
    <xf numFmtId="10" fontId="11" fillId="4" borderId="0" xfId="2" applyNumberFormat="1" applyFont="1" applyFill="1" applyBorder="1"/>
    <xf numFmtId="43" fontId="6" fillId="4" borderId="0" xfId="1" applyFont="1" applyFill="1" applyBorder="1"/>
    <xf numFmtId="10" fontId="9" fillId="4" borderId="0" xfId="1" applyNumberFormat="1" applyFont="1" applyFill="1" applyBorder="1" applyAlignment="1">
      <alignment horizontal="center"/>
    </xf>
    <xf numFmtId="9" fontId="0" fillId="0" borderId="0" xfId="2" applyFont="1"/>
    <xf numFmtId="0" fontId="21" fillId="4" borderId="26" xfId="0" applyFont="1" applyFill="1" applyBorder="1" applyAlignment="1">
      <alignment horizontal="center"/>
    </xf>
    <xf numFmtId="43" fontId="6" fillId="2" borderId="0" xfId="1" applyFont="1" applyFill="1" applyAlignment="1">
      <alignment horizontal="center"/>
    </xf>
    <xf numFmtId="0" fontId="21" fillId="0" borderId="26" xfId="0" applyFont="1" applyBorder="1"/>
    <xf numFmtId="44" fontId="22" fillId="0" borderId="26" xfId="3" quotePrefix="1" applyFont="1" applyBorder="1"/>
    <xf numFmtId="10" fontId="22" fillId="0" borderId="26" xfId="0" applyNumberFormat="1" applyFont="1" applyBorder="1"/>
    <xf numFmtId="0" fontId="0" fillId="0" borderId="26" xfId="3" applyNumberFormat="1" applyFont="1" applyBorder="1"/>
    <xf numFmtId="10" fontId="21" fillId="4" borderId="26" xfId="0" applyNumberFormat="1" applyFont="1" applyFill="1" applyBorder="1"/>
    <xf numFmtId="44" fontId="21" fillId="4" borderId="26" xfId="3" applyFont="1" applyFill="1" applyBorder="1" applyAlignment="1">
      <alignment horizontal="center"/>
    </xf>
    <xf numFmtId="9" fontId="21" fillId="4" borderId="26" xfId="0" applyNumberFormat="1" applyFont="1" applyFill="1" applyBorder="1"/>
    <xf numFmtId="0" fontId="21" fillId="4" borderId="26" xfId="0" applyFont="1" applyFill="1" applyBorder="1"/>
    <xf numFmtId="44" fontId="21" fillId="4" borderId="26" xfId="0" applyNumberFormat="1" applyFont="1" applyFill="1" applyBorder="1"/>
    <xf numFmtId="44" fontId="21" fillId="4" borderId="27" xfId="3" applyFont="1" applyFill="1" applyBorder="1" applyAlignment="1">
      <alignment horizontal="center"/>
    </xf>
    <xf numFmtId="44" fontId="0" fillId="0" borderId="28" xfId="0" applyNumberFormat="1" applyBorder="1"/>
    <xf numFmtId="0" fontId="21" fillId="4" borderId="23" xfId="0" applyFont="1" applyFill="1" applyBorder="1" applyAlignment="1">
      <alignment horizontal="center"/>
    </xf>
    <xf numFmtId="44" fontId="0" fillId="0" borderId="23" xfId="3" applyFont="1" applyBorder="1"/>
    <xf numFmtId="0" fontId="23" fillId="0" borderId="0" xfId="0" applyFont="1" applyAlignment="1">
      <alignment horizontal="center"/>
    </xf>
    <xf numFmtId="44" fontId="23" fillId="0" borderId="0" xfId="3" applyFont="1" applyAlignment="1">
      <alignment horizontal="center"/>
    </xf>
    <xf numFmtId="0" fontId="0" fillId="0" borderId="26" xfId="0" applyBorder="1" applyAlignment="1">
      <alignment horizontal="center"/>
    </xf>
    <xf numFmtId="10" fontId="23" fillId="0" borderId="26" xfId="0" applyNumberFormat="1" applyFont="1" applyBorder="1" applyAlignment="1">
      <alignment horizontal="center"/>
    </xf>
    <xf numFmtId="0" fontId="23" fillId="0" borderId="0" xfId="0" applyFont="1"/>
    <xf numFmtId="44" fontId="23" fillId="0" borderId="0" xfId="0" applyNumberFormat="1" applyFont="1"/>
    <xf numFmtId="0" fontId="24" fillId="0" borderId="0" xfId="0" applyFont="1"/>
    <xf numFmtId="0" fontId="23" fillId="0" borderId="26" xfId="0" applyFont="1" applyBorder="1" applyAlignment="1">
      <alignment horizontal="center"/>
    </xf>
    <xf numFmtId="44" fontId="23" fillId="0" borderId="26" xfId="0" applyNumberFormat="1" applyFont="1" applyBorder="1"/>
    <xf numFmtId="44" fontId="23" fillId="0" borderId="26" xfId="3" applyFont="1" applyBorder="1" applyAlignment="1">
      <alignment horizontal="center"/>
    </xf>
    <xf numFmtId="0" fontId="23" fillId="0" borderId="26" xfId="0" applyFont="1" applyBorder="1"/>
    <xf numFmtId="0" fontId="0" fillId="0" borderId="26" xfId="0" applyBorder="1"/>
    <xf numFmtId="44" fontId="23" fillId="4" borderId="26" xfId="3" applyFont="1" applyFill="1" applyBorder="1"/>
    <xf numFmtId="44" fontId="23" fillId="0" borderId="26" xfId="3" applyFont="1" applyBorder="1"/>
    <xf numFmtId="0" fontId="23" fillId="5" borderId="26" xfId="0" applyFont="1" applyFill="1" applyBorder="1"/>
    <xf numFmtId="44" fontId="23" fillId="5" borderId="26" xfId="3" applyFont="1" applyFill="1" applyBorder="1"/>
    <xf numFmtId="9" fontId="0" fillId="0" borderId="0" xfId="0" applyNumberFormat="1"/>
    <xf numFmtId="9" fontId="23" fillId="5" borderId="26" xfId="0" applyNumberFormat="1" applyFont="1" applyFill="1" applyBorder="1" applyAlignment="1">
      <alignment horizontal="center"/>
    </xf>
    <xf numFmtId="0" fontId="10" fillId="4" borderId="26" xfId="0" applyFont="1" applyFill="1" applyBorder="1" applyAlignment="1">
      <alignment horizontal="left"/>
    </xf>
    <xf numFmtId="44" fontId="0" fillId="0" borderId="26" xfId="0" applyNumberFormat="1" applyBorder="1"/>
    <xf numFmtId="0" fontId="9" fillId="4" borderId="26" xfId="0" applyFont="1" applyFill="1" applyBorder="1" applyAlignment="1">
      <alignment horizontal="left"/>
    </xf>
    <xf numFmtId="44" fontId="23" fillId="4" borderId="26" xfId="0" applyNumberFormat="1" applyFont="1" applyFill="1" applyBorder="1"/>
    <xf numFmtId="43" fontId="6" fillId="4" borderId="18" xfId="1" applyFont="1" applyFill="1" applyBorder="1"/>
    <xf numFmtId="0" fontId="21" fillId="6" borderId="26" xfId="0" applyFont="1" applyFill="1" applyBorder="1" applyAlignment="1">
      <alignment horizontal="center"/>
    </xf>
    <xf numFmtId="0" fontId="23" fillId="6" borderId="26" xfId="0" applyFont="1" applyFill="1" applyBorder="1" applyAlignment="1">
      <alignment horizontal="center"/>
    </xf>
    <xf numFmtId="17" fontId="21" fillId="0" borderId="26" xfId="0" applyNumberFormat="1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0" fontId="21" fillId="0" borderId="0" xfId="0" applyFont="1" applyAlignment="1">
      <alignment horizontal="center"/>
    </xf>
    <xf numFmtId="44" fontId="21" fillId="0" borderId="26" xfId="0" applyNumberFormat="1" applyFont="1" applyBorder="1"/>
    <xf numFmtId="0" fontId="23" fillId="5" borderId="0" xfId="0" applyFont="1" applyFill="1"/>
    <xf numFmtId="0" fontId="21" fillId="7" borderId="29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44" fontId="0" fillId="0" borderId="29" xfId="3" applyFont="1" applyBorder="1"/>
    <xf numFmtId="0" fontId="21" fillId="6" borderId="26" xfId="0" applyFont="1" applyFill="1" applyBorder="1"/>
    <xf numFmtId="0" fontId="23" fillId="6" borderId="26" xfId="0" applyFont="1" applyFill="1" applyBorder="1"/>
    <xf numFmtId="44" fontId="23" fillId="6" borderId="26" xfId="0" applyNumberFormat="1" applyFont="1" applyFill="1" applyBorder="1"/>
    <xf numFmtId="0" fontId="0" fillId="0" borderId="0" xfId="0" applyAlignment="1">
      <alignment horizontal="center"/>
    </xf>
    <xf numFmtId="0" fontId="23" fillId="8" borderId="26" xfId="0" applyFont="1" applyFill="1" applyBorder="1" applyAlignment="1">
      <alignment horizontal="center"/>
    </xf>
    <xf numFmtId="44" fontId="23" fillId="8" borderId="26" xfId="3" applyFont="1" applyFill="1" applyBorder="1" applyAlignment="1">
      <alignment horizontal="center"/>
    </xf>
    <xf numFmtId="44" fontId="23" fillId="8" borderId="26" xfId="3" applyFont="1" applyFill="1" applyBorder="1"/>
    <xf numFmtId="10" fontId="0" fillId="0" borderId="0" xfId="0" applyNumberFormat="1"/>
    <xf numFmtId="43" fontId="5" fillId="2" borderId="0" xfId="0" applyNumberFormat="1" applyFont="1" applyFill="1"/>
    <xf numFmtId="43" fontId="13" fillId="2" borderId="0" xfId="0" applyNumberFormat="1" applyFont="1" applyFill="1"/>
    <xf numFmtId="0" fontId="25" fillId="0" borderId="0" xfId="4"/>
    <xf numFmtId="0" fontId="22" fillId="0" borderId="0" xfId="5"/>
    <xf numFmtId="10" fontId="0" fillId="0" borderId="0" xfId="2" applyNumberFormat="1" applyFont="1"/>
    <xf numFmtId="0" fontId="22" fillId="0" borderId="26" xfId="5" applyBorder="1"/>
    <xf numFmtId="0" fontId="21" fillId="7" borderId="26" xfId="5" applyFont="1" applyFill="1" applyBorder="1" applyAlignment="1">
      <alignment horizontal="center" vertical="center"/>
    </xf>
    <xf numFmtId="0" fontId="21" fillId="7" borderId="23" xfId="5" applyFont="1" applyFill="1" applyBorder="1" applyAlignment="1">
      <alignment horizontal="center" vertical="center"/>
    </xf>
    <xf numFmtId="0" fontId="21" fillId="9" borderId="26" xfId="5" applyFont="1" applyFill="1" applyBorder="1" applyAlignment="1">
      <alignment horizontal="center" vertical="center"/>
    </xf>
    <xf numFmtId="0" fontId="21" fillId="4" borderId="30" xfId="6" applyFont="1" applyFill="1" applyBorder="1" applyAlignment="1">
      <alignment horizontal="center" vertical="center"/>
    </xf>
    <xf numFmtId="0" fontId="21" fillId="4" borderId="31" xfId="6" applyFont="1" applyFill="1" applyBorder="1" applyAlignment="1">
      <alignment horizontal="center" vertical="center"/>
    </xf>
    <xf numFmtId="10" fontId="21" fillId="4" borderId="32" xfId="2" applyNumberFormat="1" applyFont="1" applyFill="1" applyBorder="1" applyAlignment="1">
      <alignment horizontal="center" vertical="center"/>
    </xf>
    <xf numFmtId="10" fontId="21" fillId="4" borderId="33" xfId="2" applyNumberFormat="1" applyFont="1" applyFill="1" applyBorder="1" applyAlignment="1">
      <alignment horizontal="center" vertical="center"/>
    </xf>
    <xf numFmtId="0" fontId="21" fillId="0" borderId="0" xfId="5" applyFont="1"/>
    <xf numFmtId="40" fontId="22" fillId="0" borderId="0" xfId="5" applyNumberFormat="1"/>
    <xf numFmtId="0" fontId="22" fillId="0" borderId="0" xfId="5" applyAlignment="1">
      <alignment horizontal="center"/>
    </xf>
    <xf numFmtId="11" fontId="22" fillId="0" borderId="0" xfId="5" applyNumberFormat="1"/>
    <xf numFmtId="0" fontId="22" fillId="10" borderId="0" xfId="5" applyFill="1"/>
    <xf numFmtId="40" fontId="22" fillId="10" borderId="0" xfId="5" applyNumberFormat="1" applyFill="1"/>
    <xf numFmtId="0" fontId="22" fillId="0" borderId="34" xfId="5" applyBorder="1"/>
    <xf numFmtId="40" fontId="22" fillId="0" borderId="34" xfId="5" applyNumberFormat="1" applyBorder="1"/>
    <xf numFmtId="0" fontId="21" fillId="5" borderId="0" xfId="5" applyFont="1" applyFill="1"/>
    <xf numFmtId="40" fontId="22" fillId="5" borderId="0" xfId="5" applyNumberFormat="1" applyFill="1"/>
    <xf numFmtId="0" fontId="22" fillId="5" borderId="0" xfId="5" applyFill="1"/>
    <xf numFmtId="0" fontId="21" fillId="5" borderId="34" xfId="5" applyFont="1" applyFill="1" applyBorder="1"/>
    <xf numFmtId="40" fontId="22" fillId="5" borderId="34" xfId="5" applyNumberFormat="1" applyFill="1" applyBorder="1"/>
    <xf numFmtId="0" fontId="22" fillId="5" borderId="34" xfId="5" applyFill="1" applyBorder="1"/>
    <xf numFmtId="44" fontId="21" fillId="9" borderId="0" xfId="3" applyFont="1" applyFill="1" applyBorder="1" applyAlignment="1">
      <alignment horizontal="center" vertical="center"/>
    </xf>
    <xf numFmtId="0" fontId="21" fillId="9" borderId="29" xfId="5" applyFont="1" applyFill="1" applyBorder="1" applyAlignment="1">
      <alignment horizontal="center" vertical="center"/>
    </xf>
    <xf numFmtId="0" fontId="22" fillId="0" borderId="26" xfId="5" applyBorder="1" applyAlignment="1">
      <alignment horizontal="center"/>
    </xf>
    <xf numFmtId="10" fontId="22" fillId="0" borderId="26" xfId="5" applyNumberFormat="1" applyBorder="1"/>
    <xf numFmtId="0" fontId="21" fillId="0" borderId="26" xfId="5" applyFont="1" applyBorder="1"/>
    <xf numFmtId="0" fontId="22" fillId="0" borderId="21" xfId="5" applyBorder="1"/>
    <xf numFmtId="0" fontId="21" fillId="9" borderId="22" xfId="5" applyFont="1" applyFill="1" applyBorder="1" applyAlignment="1">
      <alignment horizontal="center" vertical="center"/>
    </xf>
    <xf numFmtId="44" fontId="21" fillId="9" borderId="22" xfId="3" applyFont="1" applyFill="1" applyBorder="1" applyAlignment="1">
      <alignment horizontal="center" vertical="center"/>
    </xf>
    <xf numFmtId="0" fontId="21" fillId="9" borderId="21" xfId="5" applyFont="1" applyFill="1" applyBorder="1" applyAlignment="1">
      <alignment horizontal="center" vertical="center"/>
    </xf>
    <xf numFmtId="0" fontId="22" fillId="0" borderId="26" xfId="5" applyBorder="1" applyAlignment="1">
      <alignment horizontal="left"/>
    </xf>
    <xf numFmtId="0" fontId="22" fillId="0" borderId="22" xfId="5" applyBorder="1" applyAlignment="1">
      <alignment horizontal="left"/>
    </xf>
    <xf numFmtId="44" fontId="0" fillId="0" borderId="22" xfId="3" applyFont="1" applyBorder="1"/>
    <xf numFmtId="10" fontId="22" fillId="0" borderId="22" xfId="5" applyNumberFormat="1" applyBorder="1"/>
    <xf numFmtId="44" fontId="21" fillId="9" borderId="26" xfId="3" applyFont="1" applyFill="1" applyBorder="1" applyAlignment="1">
      <alignment horizontal="center" vertical="center"/>
    </xf>
    <xf numFmtId="0" fontId="21" fillId="0" borderId="0" xfId="5" applyFont="1" applyAlignment="1">
      <alignment horizontal="center"/>
    </xf>
    <xf numFmtId="44" fontId="21" fillId="0" borderId="0" xfId="5" applyNumberFormat="1" applyFont="1"/>
    <xf numFmtId="0" fontId="21" fillId="11" borderId="26" xfId="6" applyFont="1" applyFill="1" applyBorder="1" applyAlignment="1">
      <alignment horizontal="center"/>
    </xf>
    <xf numFmtId="0" fontId="22" fillId="0" borderId="0" xfId="6"/>
    <xf numFmtId="0" fontId="22" fillId="0" borderId="26" xfId="6" applyBorder="1"/>
    <xf numFmtId="0" fontId="22" fillId="0" borderId="21" xfId="6" applyBorder="1"/>
    <xf numFmtId="0" fontId="21" fillId="11" borderId="26" xfId="6" applyFont="1" applyFill="1" applyBorder="1"/>
    <xf numFmtId="44" fontId="21" fillId="11" borderId="26" xfId="6" applyNumberFormat="1" applyFont="1" applyFill="1" applyBorder="1"/>
    <xf numFmtId="0" fontId="21" fillId="7" borderId="26" xfId="6" applyFont="1" applyFill="1" applyBorder="1" applyAlignment="1">
      <alignment horizontal="center" vertical="center"/>
    </xf>
    <xf numFmtId="0" fontId="21" fillId="5" borderId="0" xfId="6" applyFont="1" applyFill="1"/>
    <xf numFmtId="44" fontId="0" fillId="5" borderId="0" xfId="3" applyFont="1" applyFill="1"/>
    <xf numFmtId="0" fontId="22" fillId="5" borderId="0" xfId="6" applyFill="1"/>
    <xf numFmtId="0" fontId="21" fillId="5" borderId="34" xfId="6" applyFont="1" applyFill="1" applyBorder="1"/>
    <xf numFmtId="44" fontId="0" fillId="5" borderId="34" xfId="3" applyFont="1" applyFill="1" applyBorder="1"/>
    <xf numFmtId="0" fontId="22" fillId="5" borderId="34" xfId="6" applyFill="1" applyBorder="1"/>
    <xf numFmtId="44" fontId="21" fillId="11" borderId="26" xfId="3" applyFont="1" applyFill="1" applyBorder="1"/>
    <xf numFmtId="164" fontId="9" fillId="4" borderId="7" xfId="0" applyNumberFormat="1" applyFont="1" applyFill="1" applyBorder="1"/>
    <xf numFmtId="164" fontId="11" fillId="4" borderId="4" xfId="2" applyNumberFormat="1" applyFont="1" applyFill="1" applyBorder="1"/>
    <xf numFmtId="164" fontId="6" fillId="4" borderId="4" xfId="1" applyNumberFormat="1" applyFont="1" applyFill="1" applyBorder="1" applyAlignment="1">
      <alignment horizontal="center"/>
    </xf>
    <xf numFmtId="164" fontId="5" fillId="4" borderId="4" xfId="1" applyNumberFormat="1" applyFont="1" applyFill="1" applyBorder="1"/>
    <xf numFmtId="164" fontId="5" fillId="4" borderId="8" xfId="1" applyNumberFormat="1" applyFont="1" applyFill="1" applyBorder="1"/>
    <xf numFmtId="0" fontId="21" fillId="6" borderId="26" xfId="0" applyFont="1" applyFill="1" applyBorder="1" applyAlignment="1">
      <alignment horizontal="center" vertical="center"/>
    </xf>
    <xf numFmtId="0" fontId="22" fillId="0" borderId="26" xfId="0" applyFont="1" applyBorder="1"/>
    <xf numFmtId="44" fontId="21" fillId="6" borderId="26" xfId="3" applyFont="1" applyFill="1" applyBorder="1"/>
    <xf numFmtId="43" fontId="13" fillId="5" borderId="0" xfId="1" applyFont="1" applyFill="1"/>
    <xf numFmtId="43" fontId="13" fillId="5" borderId="1" xfId="1" applyFont="1" applyFill="1" applyBorder="1"/>
    <xf numFmtId="44" fontId="5" fillId="2" borderId="0" xfId="3" applyFont="1" applyFill="1"/>
    <xf numFmtId="43" fontId="13" fillId="5" borderId="12" xfId="1" applyFont="1" applyFill="1" applyBorder="1"/>
    <xf numFmtId="43" fontId="14" fillId="5" borderId="0" xfId="1" applyFont="1" applyFill="1"/>
    <xf numFmtId="43" fontId="14" fillId="5" borderId="1" xfId="1" applyFont="1" applyFill="1" applyBorder="1"/>
    <xf numFmtId="43" fontId="13" fillId="5" borderId="0" xfId="1" applyFont="1" applyFill="1" applyBorder="1"/>
    <xf numFmtId="43" fontId="14" fillId="5" borderId="0" xfId="1" applyFont="1" applyFill="1" applyBorder="1"/>
    <xf numFmtId="10" fontId="9" fillId="4" borderId="29" xfId="0" applyNumberFormat="1" applyFont="1" applyFill="1" applyBorder="1" applyAlignment="1">
      <alignment horizontal="left"/>
    </xf>
    <xf numFmtId="43" fontId="14" fillId="5" borderId="12" xfId="1" applyFont="1" applyFill="1" applyBorder="1"/>
    <xf numFmtId="43" fontId="14" fillId="5" borderId="14" xfId="1" applyFont="1" applyFill="1" applyBorder="1"/>
    <xf numFmtId="43" fontId="4" fillId="4" borderId="0" xfId="1" applyFont="1" applyFill="1" applyBorder="1" applyAlignment="1">
      <alignment horizontal="center"/>
    </xf>
    <xf numFmtId="44" fontId="5" fillId="2" borderId="0" xfId="0" applyNumberFormat="1" applyFont="1" applyFill="1"/>
    <xf numFmtId="0" fontId="28" fillId="2" borderId="0" xfId="9" applyFill="1"/>
    <xf numFmtId="44" fontId="13" fillId="2" borderId="0" xfId="3" applyFont="1" applyFill="1"/>
    <xf numFmtId="44" fontId="2" fillId="2" borderId="0" xfId="3" applyFont="1" applyFill="1"/>
    <xf numFmtId="44" fontId="6" fillId="2" borderId="0" xfId="3" applyFont="1" applyFill="1"/>
    <xf numFmtId="44" fontId="19" fillId="2" borderId="0" xfId="3" applyFont="1" applyFill="1" applyAlignment="1">
      <alignment horizontal="center"/>
    </xf>
    <xf numFmtId="43" fontId="29" fillId="2" borderId="0" xfId="0" applyNumberFormat="1" applyFont="1" applyFill="1"/>
    <xf numFmtId="0" fontId="20" fillId="2" borderId="0" xfId="0" applyFont="1" applyFill="1" applyAlignment="1">
      <alignment vertical="center"/>
    </xf>
    <xf numFmtId="44" fontId="10" fillId="2" borderId="0" xfId="7" applyFont="1" applyFill="1"/>
    <xf numFmtId="44" fontId="10" fillId="4" borderId="12" xfId="7" applyFont="1" applyFill="1" applyBorder="1"/>
    <xf numFmtId="44" fontId="5" fillId="2" borderId="0" xfId="7" applyFont="1" applyFill="1" applyAlignment="1">
      <alignment horizontal="center"/>
    </xf>
    <xf numFmtId="44" fontId="6" fillId="2" borderId="0" xfId="7" applyFont="1" applyFill="1" applyAlignment="1">
      <alignment horizontal="center"/>
    </xf>
    <xf numFmtId="0" fontId="0" fillId="0" borderId="0" xfId="0" applyAlignment="1"/>
    <xf numFmtId="0" fontId="4" fillId="3" borderId="7" xfId="0" applyFont="1" applyFill="1" applyBorder="1" applyAlignment="1"/>
    <xf numFmtId="0" fontId="4" fillId="3" borderId="4" xfId="0" applyFont="1" applyFill="1" applyBorder="1" applyAlignment="1"/>
    <xf numFmtId="0" fontId="4" fillId="3" borderId="8" xfId="0" applyFont="1" applyFill="1" applyBorder="1" applyAlignment="1"/>
    <xf numFmtId="166" fontId="5" fillId="2" borderId="0" xfId="2" applyNumberFormat="1" applyFont="1" applyFill="1"/>
    <xf numFmtId="43" fontId="5" fillId="4" borderId="0" xfId="1" applyFont="1" applyFill="1" applyBorder="1"/>
    <xf numFmtId="44" fontId="30" fillId="13" borderId="37" xfId="3" applyFont="1" applyFill="1" applyBorder="1"/>
    <xf numFmtId="44" fontId="30" fillId="13" borderId="38" xfId="3" applyFont="1" applyFill="1" applyBorder="1"/>
    <xf numFmtId="44" fontId="31" fillId="0" borderId="35" xfId="3" applyFont="1" applyBorder="1"/>
    <xf numFmtId="44" fontId="31" fillId="0" borderId="36" xfId="3" applyFont="1" applyBorder="1"/>
    <xf numFmtId="44" fontId="32" fillId="0" borderId="35" xfId="3" applyFont="1" applyBorder="1"/>
    <xf numFmtId="44" fontId="32" fillId="0" borderId="36" xfId="3" applyFont="1" applyBorder="1"/>
    <xf numFmtId="4" fontId="5" fillId="2" borderId="0" xfId="0" applyNumberFormat="1" applyFont="1" applyFill="1"/>
    <xf numFmtId="44" fontId="31" fillId="0" borderId="36" xfId="3" applyNumberFormat="1" applyFont="1" applyBorder="1"/>
    <xf numFmtId="0" fontId="33" fillId="0" borderId="0" xfId="0" applyFont="1"/>
    <xf numFmtId="0" fontId="23" fillId="6" borderId="26" xfId="0" applyFont="1" applyFill="1" applyBorder="1" applyAlignment="1">
      <alignment horizontal="center"/>
    </xf>
    <xf numFmtId="0" fontId="23" fillId="8" borderId="26" xfId="0" applyFont="1" applyFill="1" applyBorder="1" applyAlignment="1">
      <alignment horizontal="center"/>
    </xf>
    <xf numFmtId="0" fontId="23" fillId="12" borderId="0" xfId="0" applyFont="1" applyFill="1" applyAlignment="1">
      <alignment horizontal="center"/>
    </xf>
    <xf numFmtId="0" fontId="23" fillId="12" borderId="30" xfId="0" applyFont="1" applyFill="1" applyBorder="1" applyAlignment="1">
      <alignment horizontal="center"/>
    </xf>
    <xf numFmtId="0" fontId="23" fillId="12" borderId="31" xfId="0" applyFont="1" applyFill="1" applyBorder="1" applyAlignment="1">
      <alignment horizontal="center"/>
    </xf>
    <xf numFmtId="0" fontId="23" fillId="12" borderId="39" xfId="0" applyFont="1" applyFill="1" applyBorder="1" applyAlignment="1">
      <alignment horizontal="center"/>
    </xf>
    <xf numFmtId="0" fontId="21" fillId="6" borderId="26" xfId="0" applyFont="1" applyFill="1" applyBorder="1" applyAlignment="1">
      <alignment horizontal="center"/>
    </xf>
    <xf numFmtId="0" fontId="22" fillId="0" borderId="26" xfId="0" applyFont="1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6" xfId="0" applyBorder="1" applyAlignment="1">
      <alignment horizontal="center"/>
    </xf>
    <xf numFmtId="0" fontId="21" fillId="9" borderId="26" xfId="5" applyFont="1" applyFill="1" applyBorder="1" applyAlignment="1">
      <alignment horizontal="center" vertical="center"/>
    </xf>
    <xf numFmtId="0" fontId="22" fillId="0" borderId="0" xfId="5" applyAlignment="1">
      <alignment horizontal="left"/>
    </xf>
    <xf numFmtId="0" fontId="22" fillId="0" borderId="0" xfId="5"/>
    <xf numFmtId="0" fontId="22" fillId="0" borderId="0" xfId="5" applyAlignment="1">
      <alignment horizontal="right"/>
    </xf>
    <xf numFmtId="0" fontId="21" fillId="0" borderId="26" xfId="5" applyFont="1" applyBorder="1" applyAlignment="1">
      <alignment horizontal="center"/>
    </xf>
    <xf numFmtId="0" fontId="22" fillId="0" borderId="26" xfId="5" applyBorder="1"/>
    <xf numFmtId="0" fontId="21" fillId="11" borderId="26" xfId="6" applyFont="1" applyFill="1" applyBorder="1" applyAlignment="1">
      <alignment horizontal="center"/>
    </xf>
    <xf numFmtId="0" fontId="22" fillId="0" borderId="0" xfId="6" applyAlignment="1">
      <alignment horizontal="left"/>
    </xf>
    <xf numFmtId="0" fontId="22" fillId="0" borderId="0" xfId="6"/>
    <xf numFmtId="0" fontId="22" fillId="0" borderId="0" xfId="6" applyAlignment="1">
      <alignment horizontal="right"/>
    </xf>
    <xf numFmtId="0" fontId="21" fillId="0" borderId="26" xfId="6" applyFont="1" applyBorder="1" applyAlignment="1">
      <alignment horizontal="center"/>
    </xf>
    <xf numFmtId="0" fontId="22" fillId="0" borderId="26" xfId="6" applyBorder="1"/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0" fillId="2" borderId="0" xfId="0" applyFont="1" applyFill="1" applyAlignment="1">
      <alignment horizontal="center" vertical="center"/>
    </xf>
  </cellXfs>
  <cellStyles count="11">
    <cellStyle name="Hiperlink" xfId="9" builtinId="8"/>
    <cellStyle name="Moeda" xfId="3" builtinId="4"/>
    <cellStyle name="Moeda 14" xfId="10" xr:uid="{E5D5D84E-24BC-42B0-A6CC-FCB45F280AFB}"/>
    <cellStyle name="Moeda 4" xfId="7" xr:uid="{F103C3C2-06D9-4B99-AF13-2FA4AE5A2AD4}"/>
    <cellStyle name="Moeda 4 4" xfId="8" xr:uid="{5E931A6D-227C-4E3F-BC10-C8AB38B59265}"/>
    <cellStyle name="Normal" xfId="0" builtinId="0"/>
    <cellStyle name="Normal 2" xfId="4" xr:uid="{00000000-0005-0000-0000-000002000000}"/>
    <cellStyle name="Normal 2 2" xfId="6" xr:uid="{00000000-0005-0000-0000-000003000000}"/>
    <cellStyle name="Normal 3" xfId="5" xr:uid="{00000000-0005-0000-0000-000004000000}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446A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105833</xdr:colOff>
      <xdr:row>0</xdr:row>
      <xdr:rowOff>42333</xdr:rowOff>
    </xdr:from>
    <xdr:to>
      <xdr:col>0</xdr:col>
      <xdr:colOff>1220258</xdr:colOff>
      <xdr:row>0</xdr:row>
      <xdr:rowOff>399229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8A3273-205F-4E82-A6B5-0AA1914FFC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78" t="25596" b="36290"/>
        <a:stretch/>
      </xdr:blipFill>
      <xdr:spPr>
        <a:xfrm>
          <a:off x="105833" y="42333"/>
          <a:ext cx="1114425" cy="356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J56"/>
  <sheetViews>
    <sheetView topLeftCell="A52" workbookViewId="0">
      <selection activeCell="D54" sqref="D54"/>
    </sheetView>
  </sheetViews>
  <sheetFormatPr defaultRowHeight="15" x14ac:dyDescent="0.25"/>
  <cols>
    <col min="1" max="1" width="9.140625" bestFit="1" customWidth="1"/>
    <col min="2" max="2" width="9.42578125" bestFit="1" customWidth="1"/>
    <col min="3" max="3" width="15.5703125" bestFit="1" customWidth="1"/>
    <col min="4" max="6" width="14" bestFit="1" customWidth="1"/>
    <col min="7" max="7" width="11.85546875" bestFit="1" customWidth="1"/>
    <col min="8" max="9" width="12.85546875" bestFit="1" customWidth="1"/>
    <col min="10" max="10" width="10.85546875" bestFit="1" customWidth="1"/>
  </cols>
  <sheetData>
    <row r="4" spans="1:10" x14ac:dyDescent="0.25">
      <c r="A4" s="211">
        <v>1</v>
      </c>
    </row>
    <row r="6" spans="1:10" x14ac:dyDescent="0.25">
      <c r="B6" s="212" t="s">
        <v>98</v>
      </c>
      <c r="C6" s="212" t="s">
        <v>99</v>
      </c>
      <c r="D6" s="212" t="s">
        <v>100</v>
      </c>
      <c r="E6" s="212" t="s">
        <v>101</v>
      </c>
      <c r="F6" s="212" t="s">
        <v>102</v>
      </c>
      <c r="G6" s="212" t="s">
        <v>103</v>
      </c>
      <c r="H6" s="212" t="s">
        <v>104</v>
      </c>
      <c r="I6" s="212" t="s">
        <v>105</v>
      </c>
      <c r="J6" s="212" t="s">
        <v>106</v>
      </c>
    </row>
    <row r="7" spans="1:10" x14ac:dyDescent="0.25">
      <c r="A7" s="152" t="s">
        <v>107</v>
      </c>
      <c r="B7" s="184">
        <v>5</v>
      </c>
      <c r="C7" s="148">
        <v>251380.80999999982</v>
      </c>
      <c r="D7" s="148">
        <v>107487.90000000004</v>
      </c>
      <c r="E7" s="148">
        <v>143892.90999999995</v>
      </c>
      <c r="F7" s="148">
        <v>143892.90999999995</v>
      </c>
      <c r="G7" s="148">
        <v>2374.1799999999994</v>
      </c>
      <c r="H7" s="148">
        <v>10935.829999999996</v>
      </c>
      <c r="I7" s="148">
        <v>13310.009999999995</v>
      </c>
      <c r="J7" s="148"/>
    </row>
    <row r="8" spans="1:10" x14ac:dyDescent="0.25">
      <c r="A8" s="152" t="s">
        <v>108</v>
      </c>
      <c r="B8" s="184">
        <v>7</v>
      </c>
      <c r="C8" s="148">
        <v>17157.7</v>
      </c>
      <c r="D8" s="148">
        <v>13975.880000000001</v>
      </c>
      <c r="E8" s="148">
        <v>3181.82</v>
      </c>
      <c r="F8" s="148">
        <v>3181.82</v>
      </c>
      <c r="G8" s="148">
        <v>52.5</v>
      </c>
      <c r="H8" s="148">
        <v>241.81</v>
      </c>
      <c r="I8" s="148">
        <v>294.31</v>
      </c>
      <c r="J8" s="148"/>
    </row>
    <row r="9" spans="1:10" x14ac:dyDescent="0.25">
      <c r="A9" s="152" t="s">
        <v>108</v>
      </c>
      <c r="B9" s="184">
        <v>28</v>
      </c>
      <c r="C9" s="148">
        <v>139800</v>
      </c>
      <c r="D9" s="148">
        <v>111640</v>
      </c>
      <c r="E9" s="148">
        <v>28160</v>
      </c>
      <c r="F9" s="148">
        <v>28160</v>
      </c>
      <c r="G9" s="148">
        <v>183.04</v>
      </c>
      <c r="H9" s="148">
        <v>844.8</v>
      </c>
      <c r="I9" s="148">
        <v>1027.8399999999999</v>
      </c>
      <c r="J9" s="148"/>
    </row>
    <row r="10" spans="1:10" x14ac:dyDescent="0.25">
      <c r="A10" s="215" t="s">
        <v>19</v>
      </c>
      <c r="B10" s="216" t="s">
        <v>49</v>
      </c>
      <c r="C10" s="217">
        <f t="shared" ref="C10:J10" si="0">SUM(C7:C9)</f>
        <v>408338.50999999983</v>
      </c>
      <c r="D10" s="217">
        <f t="shared" si="0"/>
        <v>233103.78000000003</v>
      </c>
      <c r="E10" s="217">
        <f t="shared" si="0"/>
        <v>175234.72999999995</v>
      </c>
      <c r="F10" s="217">
        <f t="shared" si="0"/>
        <v>175234.72999999995</v>
      </c>
      <c r="G10" s="217">
        <f t="shared" si="0"/>
        <v>2609.7199999999993</v>
      </c>
      <c r="H10" s="217">
        <f t="shared" si="0"/>
        <v>12022.439999999995</v>
      </c>
      <c r="I10" s="217">
        <f t="shared" si="0"/>
        <v>14632.159999999994</v>
      </c>
      <c r="J10" s="217">
        <f t="shared" si="0"/>
        <v>0</v>
      </c>
    </row>
    <row r="13" spans="1:10" x14ac:dyDescent="0.25">
      <c r="A13" s="211">
        <v>2</v>
      </c>
    </row>
    <row r="15" spans="1:10" x14ac:dyDescent="0.25">
      <c r="B15" s="212" t="s">
        <v>98</v>
      </c>
      <c r="C15" s="212" t="s">
        <v>99</v>
      </c>
      <c r="D15" s="212" t="s">
        <v>100</v>
      </c>
      <c r="E15" s="212" t="s">
        <v>101</v>
      </c>
      <c r="F15" s="212" t="s">
        <v>102</v>
      </c>
      <c r="G15" s="212" t="s">
        <v>103</v>
      </c>
      <c r="H15" s="212" t="s">
        <v>104</v>
      </c>
      <c r="I15" s="212" t="s">
        <v>105</v>
      </c>
      <c r="J15" s="212" t="s">
        <v>106</v>
      </c>
    </row>
    <row r="16" spans="1:10" x14ac:dyDescent="0.25">
      <c r="A16" s="152" t="s">
        <v>107</v>
      </c>
      <c r="B16" s="184">
        <v>5</v>
      </c>
      <c r="C16" s="148">
        <v>233984.39999999997</v>
      </c>
      <c r="D16" s="148">
        <v>136632.03999999992</v>
      </c>
      <c r="E16" s="148">
        <v>97352.36</v>
      </c>
      <c r="F16" s="148">
        <v>97352.36</v>
      </c>
      <c r="G16" s="148">
        <v>1606.2400000000002</v>
      </c>
      <c r="H16" s="148">
        <v>7398.62</v>
      </c>
      <c r="I16" s="148">
        <v>9004.86</v>
      </c>
      <c r="J16" s="148"/>
    </row>
    <row r="17" spans="1:10" x14ac:dyDescent="0.25">
      <c r="A17" s="152" t="s">
        <v>108</v>
      </c>
      <c r="B17" s="184">
        <v>7</v>
      </c>
      <c r="C17" s="148">
        <v>12963.800000000001</v>
      </c>
      <c r="D17" s="148">
        <v>10718.29</v>
      </c>
      <c r="E17" s="148">
        <v>2245.5100000000002</v>
      </c>
      <c r="F17" s="148">
        <v>2245.5100000000002</v>
      </c>
      <c r="G17" s="148">
        <v>37.050000000000004</v>
      </c>
      <c r="H17" s="148">
        <v>170.67</v>
      </c>
      <c r="I17" s="148">
        <v>207.72</v>
      </c>
      <c r="J17" s="148"/>
    </row>
    <row r="18" spans="1:10" x14ac:dyDescent="0.25">
      <c r="A18" s="152" t="s">
        <v>108</v>
      </c>
      <c r="B18" s="184">
        <v>28</v>
      </c>
      <c r="C18" s="148">
        <v>73000</v>
      </c>
      <c r="D18" s="148">
        <v>60900</v>
      </c>
      <c r="E18" s="148">
        <v>12100</v>
      </c>
      <c r="F18" s="148">
        <v>12100</v>
      </c>
      <c r="G18" s="148">
        <v>78.650000000000006</v>
      </c>
      <c r="H18" s="148">
        <v>363</v>
      </c>
      <c r="I18" s="148">
        <v>441.65</v>
      </c>
      <c r="J18" s="148"/>
    </row>
    <row r="19" spans="1:10" x14ac:dyDescent="0.25">
      <c r="A19" s="215" t="s">
        <v>19</v>
      </c>
      <c r="B19" s="216" t="s">
        <v>49</v>
      </c>
      <c r="C19" s="217">
        <f t="shared" ref="C19:J19" si="1">SUM(C16:C18)</f>
        <v>319948.19999999995</v>
      </c>
      <c r="D19" s="217">
        <f t="shared" si="1"/>
        <v>208250.32999999993</v>
      </c>
      <c r="E19" s="217">
        <f t="shared" si="1"/>
        <v>111697.87</v>
      </c>
      <c r="F19" s="217">
        <f t="shared" si="1"/>
        <v>111697.87</v>
      </c>
      <c r="G19" s="217">
        <f t="shared" si="1"/>
        <v>1721.9400000000003</v>
      </c>
      <c r="H19" s="217">
        <f t="shared" si="1"/>
        <v>7932.29</v>
      </c>
      <c r="I19" s="217">
        <f t="shared" si="1"/>
        <v>9654.23</v>
      </c>
      <c r="J19" s="217">
        <f t="shared" si="1"/>
        <v>0</v>
      </c>
    </row>
    <row r="22" spans="1:10" x14ac:dyDescent="0.25">
      <c r="A22" s="211">
        <v>3</v>
      </c>
    </row>
    <row r="24" spans="1:10" x14ac:dyDescent="0.25">
      <c r="B24" s="212" t="s">
        <v>98</v>
      </c>
      <c r="C24" s="212" t="s">
        <v>99</v>
      </c>
      <c r="D24" s="212" t="s">
        <v>100</v>
      </c>
      <c r="E24" s="212" t="s">
        <v>101</v>
      </c>
      <c r="F24" s="212" t="s">
        <v>102</v>
      </c>
      <c r="G24" s="212" t="s">
        <v>103</v>
      </c>
      <c r="H24" s="212" t="s">
        <v>104</v>
      </c>
      <c r="I24" s="212" t="s">
        <v>105</v>
      </c>
      <c r="J24" s="212" t="s">
        <v>106</v>
      </c>
    </row>
    <row r="25" spans="1:10" x14ac:dyDescent="0.25">
      <c r="A25" s="152" t="s">
        <v>107</v>
      </c>
      <c r="B25" s="184">
        <v>5</v>
      </c>
      <c r="C25" s="148">
        <v>76363.53</v>
      </c>
      <c r="D25" s="148">
        <v>21885.149999999998</v>
      </c>
      <c r="E25" s="148">
        <v>54478.379999999983</v>
      </c>
      <c r="F25" s="148">
        <v>54478.379999999983</v>
      </c>
      <c r="G25" s="148">
        <v>898.91</v>
      </c>
      <c r="H25" s="148">
        <v>4140.3799999999992</v>
      </c>
      <c r="I25" s="148">
        <v>5039.2899999999991</v>
      </c>
      <c r="J25" s="148"/>
    </row>
    <row r="26" spans="1:10" x14ac:dyDescent="0.25">
      <c r="A26" s="152" t="s">
        <v>108</v>
      </c>
      <c r="B26" s="184">
        <v>7</v>
      </c>
      <c r="C26" s="148">
        <v>5800.49</v>
      </c>
      <c r="D26" s="148">
        <v>2828.05</v>
      </c>
      <c r="E26" s="148">
        <v>2972.4400000000005</v>
      </c>
      <c r="F26" s="148">
        <v>2972.4400000000005</v>
      </c>
      <c r="G26" s="148">
        <v>49.019999999999996</v>
      </c>
      <c r="H26" s="148">
        <v>225.92000000000002</v>
      </c>
      <c r="I26" s="148">
        <v>274.94</v>
      </c>
      <c r="J26" s="148"/>
    </row>
    <row r="27" spans="1:10" x14ac:dyDescent="0.25">
      <c r="A27" s="152" t="s">
        <v>108</v>
      </c>
      <c r="B27" s="184">
        <v>28</v>
      </c>
      <c r="C27" s="148">
        <v>243900</v>
      </c>
      <c r="D27" s="148">
        <v>205000</v>
      </c>
      <c r="E27" s="148">
        <v>38900</v>
      </c>
      <c r="F27" s="148">
        <v>38900</v>
      </c>
      <c r="G27" s="148">
        <v>252.85</v>
      </c>
      <c r="H27" s="148">
        <v>1167</v>
      </c>
      <c r="I27" s="148">
        <v>1419.85</v>
      </c>
      <c r="J27" s="148"/>
    </row>
    <row r="28" spans="1:10" x14ac:dyDescent="0.25">
      <c r="A28" s="215" t="s">
        <v>19</v>
      </c>
      <c r="B28" s="216" t="s">
        <v>49</v>
      </c>
      <c r="C28" s="217">
        <f t="shared" ref="C28:J28" si="2">SUM(C25:C27)</f>
        <v>326064.02</v>
      </c>
      <c r="D28" s="217">
        <f t="shared" si="2"/>
        <v>229713.2</v>
      </c>
      <c r="E28" s="217">
        <f t="shared" si="2"/>
        <v>96350.819999999978</v>
      </c>
      <c r="F28" s="217">
        <f t="shared" si="2"/>
        <v>96350.819999999978</v>
      </c>
      <c r="G28" s="217">
        <f t="shared" si="2"/>
        <v>1200.78</v>
      </c>
      <c r="H28" s="217">
        <f t="shared" si="2"/>
        <v>5533.2999999999993</v>
      </c>
      <c r="I28" s="217">
        <f t="shared" si="2"/>
        <v>6734.0799999999981</v>
      </c>
      <c r="J28" s="217">
        <f t="shared" si="2"/>
        <v>0</v>
      </c>
    </row>
    <row r="31" spans="1:10" x14ac:dyDescent="0.25">
      <c r="A31" s="211">
        <v>4</v>
      </c>
    </row>
    <row r="33" spans="1:10" x14ac:dyDescent="0.25">
      <c r="B33" s="212" t="s">
        <v>98</v>
      </c>
      <c r="C33" s="212" t="s">
        <v>99</v>
      </c>
      <c r="D33" s="212" t="s">
        <v>100</v>
      </c>
      <c r="E33" s="212" t="s">
        <v>101</v>
      </c>
      <c r="F33" s="212" t="s">
        <v>102</v>
      </c>
      <c r="G33" s="212" t="s">
        <v>103</v>
      </c>
      <c r="H33" s="212" t="s">
        <v>104</v>
      </c>
      <c r="I33" s="212" t="s">
        <v>105</v>
      </c>
      <c r="J33" s="212" t="s">
        <v>106</v>
      </c>
    </row>
    <row r="34" spans="1:10" x14ac:dyDescent="0.25">
      <c r="A34" s="152" t="s">
        <v>107</v>
      </c>
      <c r="B34" s="184">
        <v>5</v>
      </c>
      <c r="C34" s="148">
        <v>181104.36999999997</v>
      </c>
      <c r="D34" s="148">
        <v>67169.590000000011</v>
      </c>
      <c r="E34" s="148">
        <v>113934.78000000001</v>
      </c>
      <c r="F34" s="148">
        <v>113934.78000000001</v>
      </c>
      <c r="G34" s="148">
        <v>1879.9300000000003</v>
      </c>
      <c r="H34" s="148">
        <v>8659.0999999999949</v>
      </c>
      <c r="I34" s="148">
        <v>10539.029999999995</v>
      </c>
      <c r="J34" s="148"/>
    </row>
    <row r="35" spans="1:10" x14ac:dyDescent="0.25">
      <c r="A35" s="152" t="s">
        <v>108</v>
      </c>
      <c r="B35" s="184">
        <v>7</v>
      </c>
      <c r="C35" s="148">
        <v>14574.289999999999</v>
      </c>
      <c r="D35" s="148">
        <v>12079</v>
      </c>
      <c r="E35" s="148">
        <v>2495.2900000000004</v>
      </c>
      <c r="F35" s="148">
        <v>2495.2900000000004</v>
      </c>
      <c r="G35" s="148">
        <v>41.169999999999995</v>
      </c>
      <c r="H35" s="148">
        <v>189.64</v>
      </c>
      <c r="I35" s="148">
        <v>230.80999999999997</v>
      </c>
      <c r="J35" s="148"/>
    </row>
    <row r="36" spans="1:10" x14ac:dyDescent="0.25">
      <c r="A36" s="152" t="s">
        <v>108</v>
      </c>
      <c r="B36" s="184">
        <v>28</v>
      </c>
      <c r="C36" s="148">
        <v>0</v>
      </c>
      <c r="D36" s="148">
        <v>0</v>
      </c>
      <c r="E36" s="148">
        <v>0</v>
      </c>
      <c r="F36" s="148">
        <v>0</v>
      </c>
      <c r="G36" s="148">
        <v>0</v>
      </c>
      <c r="H36" s="148">
        <v>0</v>
      </c>
      <c r="I36" s="148">
        <v>0</v>
      </c>
      <c r="J36" s="148"/>
    </row>
    <row r="37" spans="1:10" x14ac:dyDescent="0.25">
      <c r="A37" s="215" t="s">
        <v>19</v>
      </c>
      <c r="B37" s="216" t="s">
        <v>49</v>
      </c>
      <c r="C37" s="217">
        <f t="shared" ref="C37:J37" si="3">SUM(C34:C36)</f>
        <v>195678.65999999997</v>
      </c>
      <c r="D37" s="217">
        <f t="shared" si="3"/>
        <v>79248.590000000011</v>
      </c>
      <c r="E37" s="217">
        <f t="shared" si="3"/>
        <v>116430.07</v>
      </c>
      <c r="F37" s="217">
        <f t="shared" si="3"/>
        <v>116430.07</v>
      </c>
      <c r="G37" s="217">
        <f t="shared" si="3"/>
        <v>1921.1000000000004</v>
      </c>
      <c r="H37" s="217">
        <f t="shared" si="3"/>
        <v>8848.7399999999943</v>
      </c>
      <c r="I37" s="217">
        <f t="shared" si="3"/>
        <v>10769.839999999995</v>
      </c>
      <c r="J37" s="217">
        <f t="shared" si="3"/>
        <v>0</v>
      </c>
    </row>
    <row r="39" spans="1:10" x14ac:dyDescent="0.25">
      <c r="A39" s="211">
        <v>5</v>
      </c>
    </row>
    <row r="41" spans="1:10" x14ac:dyDescent="0.25">
      <c r="B41" s="212" t="s">
        <v>98</v>
      </c>
      <c r="C41" s="212" t="s">
        <v>99</v>
      </c>
      <c r="D41" s="212" t="s">
        <v>100</v>
      </c>
      <c r="E41" s="212" t="s">
        <v>101</v>
      </c>
      <c r="F41" s="212" t="s">
        <v>102</v>
      </c>
      <c r="G41" s="212" t="s">
        <v>103</v>
      </c>
      <c r="H41" s="212" t="s">
        <v>104</v>
      </c>
      <c r="I41" s="212" t="s">
        <v>105</v>
      </c>
      <c r="J41" s="212" t="s">
        <v>106</v>
      </c>
    </row>
    <row r="42" spans="1:10" x14ac:dyDescent="0.25">
      <c r="A42" s="152" t="s">
        <v>107</v>
      </c>
      <c r="B42" s="184">
        <v>5</v>
      </c>
      <c r="C42" s="148">
        <v>93499.369999999981</v>
      </c>
      <c r="D42" s="148">
        <v>33617.64</v>
      </c>
      <c r="E42" s="148">
        <v>59881.73</v>
      </c>
      <c r="F42" s="148">
        <v>59881.73</v>
      </c>
      <c r="G42" s="148">
        <v>988.04999999999984</v>
      </c>
      <c r="H42" s="148">
        <v>4551.01</v>
      </c>
      <c r="I42" s="148">
        <v>5539.06</v>
      </c>
      <c r="J42" s="148"/>
    </row>
    <row r="43" spans="1:10" x14ac:dyDescent="0.25">
      <c r="A43" s="152" t="s">
        <v>108</v>
      </c>
      <c r="B43" s="184">
        <v>7</v>
      </c>
      <c r="C43" s="148">
        <v>11192.55</v>
      </c>
      <c r="D43" s="148">
        <v>4433.88</v>
      </c>
      <c r="E43" s="148">
        <v>6758.67</v>
      </c>
      <c r="F43" s="148">
        <v>6758.67</v>
      </c>
      <c r="G43" s="148">
        <v>111.53</v>
      </c>
      <c r="H43" s="148">
        <v>513.65</v>
      </c>
      <c r="I43" s="148">
        <v>625.17999999999995</v>
      </c>
      <c r="J43" s="148"/>
    </row>
    <row r="44" spans="1:10" x14ac:dyDescent="0.25">
      <c r="A44" s="152" t="s">
        <v>108</v>
      </c>
      <c r="B44" s="184">
        <v>28</v>
      </c>
      <c r="C44" s="148">
        <v>0</v>
      </c>
      <c r="D44" s="148">
        <v>0</v>
      </c>
      <c r="E44" s="148">
        <v>0</v>
      </c>
      <c r="F44" s="148">
        <v>0</v>
      </c>
      <c r="G44" s="148">
        <v>0</v>
      </c>
      <c r="H44" s="148">
        <v>0</v>
      </c>
      <c r="I44" s="148">
        <v>0</v>
      </c>
      <c r="J44" s="148"/>
    </row>
    <row r="45" spans="1:10" x14ac:dyDescent="0.25">
      <c r="A45" s="215" t="s">
        <v>19</v>
      </c>
      <c r="B45" s="216" t="s">
        <v>49</v>
      </c>
      <c r="C45" s="217">
        <f t="shared" ref="C45:J45" si="4">SUM(C42:C44)</f>
        <v>104691.91999999998</v>
      </c>
      <c r="D45" s="217">
        <f t="shared" si="4"/>
        <v>38051.519999999997</v>
      </c>
      <c r="E45" s="217">
        <f t="shared" si="4"/>
        <v>66640.400000000009</v>
      </c>
      <c r="F45" s="217">
        <f t="shared" si="4"/>
        <v>66640.400000000009</v>
      </c>
      <c r="G45" s="217">
        <f t="shared" si="4"/>
        <v>1099.58</v>
      </c>
      <c r="H45" s="217">
        <f t="shared" si="4"/>
        <v>5064.66</v>
      </c>
      <c r="I45" s="217">
        <f t="shared" si="4"/>
        <v>6164.2400000000007</v>
      </c>
      <c r="J45" s="217">
        <f t="shared" si="4"/>
        <v>0</v>
      </c>
    </row>
    <row r="48" spans="1:10" x14ac:dyDescent="0.25">
      <c r="A48" s="211" t="s">
        <v>109</v>
      </c>
    </row>
    <row r="50" spans="1:10" x14ac:dyDescent="0.25">
      <c r="B50" s="212" t="s">
        <v>98</v>
      </c>
      <c r="C50" s="212" t="s">
        <v>99</v>
      </c>
      <c r="D50" s="212" t="s">
        <v>100</v>
      </c>
      <c r="E50" s="212" t="s">
        <v>101</v>
      </c>
      <c r="F50" s="212" t="s">
        <v>102</v>
      </c>
      <c r="G50" s="212" t="s">
        <v>103</v>
      </c>
      <c r="H50" s="212" t="s">
        <v>104</v>
      </c>
      <c r="I50" s="212" t="s">
        <v>105</v>
      </c>
      <c r="J50" s="212" t="s">
        <v>106</v>
      </c>
    </row>
    <row r="51" spans="1:10" x14ac:dyDescent="0.25">
      <c r="A51" s="152" t="s">
        <v>107</v>
      </c>
      <c r="B51" s="184">
        <v>5</v>
      </c>
      <c r="C51" s="148">
        <f>C7+C16+C25+C34+C42</f>
        <v>836332.47999999975</v>
      </c>
      <c r="D51" s="148">
        <f t="shared" ref="D51:I51" si="5">D7+D16+D25+D34+D42</f>
        <v>366792.32</v>
      </c>
      <c r="E51" s="148">
        <f t="shared" si="5"/>
        <v>469540.16</v>
      </c>
      <c r="F51" s="148">
        <f t="shared" si="5"/>
        <v>469540.16</v>
      </c>
      <c r="G51" s="148">
        <f t="shared" si="5"/>
        <v>7747.31</v>
      </c>
      <c r="H51" s="148">
        <f t="shared" si="5"/>
        <v>35684.939999999988</v>
      </c>
      <c r="I51" s="148">
        <f t="shared" si="5"/>
        <v>43432.249999999985</v>
      </c>
      <c r="J51" s="148"/>
    </row>
    <row r="52" spans="1:10" x14ac:dyDescent="0.25">
      <c r="A52" s="152" t="s">
        <v>108</v>
      </c>
      <c r="B52" s="184">
        <v>7</v>
      </c>
      <c r="C52" s="148">
        <f>C8+C17+C26+C35+C43</f>
        <v>61688.83</v>
      </c>
      <c r="D52" s="148">
        <f t="shared" ref="D52:I53" si="6">D8+D17+D26+D35+D43</f>
        <v>44035.1</v>
      </c>
      <c r="E52" s="148">
        <f t="shared" si="6"/>
        <v>17653.730000000003</v>
      </c>
      <c r="F52" s="148">
        <f t="shared" si="6"/>
        <v>17653.730000000003</v>
      </c>
      <c r="G52" s="148">
        <f t="shared" si="6"/>
        <v>291.27</v>
      </c>
      <c r="H52" s="148">
        <f t="shared" si="6"/>
        <v>1341.69</v>
      </c>
      <c r="I52" s="148">
        <f t="shared" si="6"/>
        <v>1632.96</v>
      </c>
      <c r="J52" s="148"/>
    </row>
    <row r="53" spans="1:10" x14ac:dyDescent="0.25">
      <c r="A53" s="152" t="s">
        <v>108</v>
      </c>
      <c r="B53" s="213">
        <v>28</v>
      </c>
      <c r="C53" s="148">
        <f>C9+C18+C27+C36+C44</f>
        <v>456700</v>
      </c>
      <c r="D53" s="214">
        <f t="shared" si="6"/>
        <v>377540</v>
      </c>
      <c r="E53" s="214">
        <f t="shared" si="6"/>
        <v>79160</v>
      </c>
      <c r="F53" s="214">
        <f t="shared" si="6"/>
        <v>79160</v>
      </c>
      <c r="G53" s="214">
        <f t="shared" si="6"/>
        <v>514.54</v>
      </c>
      <c r="H53" s="214">
        <f t="shared" si="6"/>
        <v>2374.8000000000002</v>
      </c>
      <c r="I53" s="214">
        <f t="shared" si="6"/>
        <v>2889.3399999999997</v>
      </c>
      <c r="J53" s="214"/>
    </row>
    <row r="54" spans="1:10" x14ac:dyDescent="0.25">
      <c r="A54" s="215" t="s">
        <v>19</v>
      </c>
      <c r="B54" s="216" t="s">
        <v>49</v>
      </c>
      <c r="C54" s="217">
        <f>SUM(C51:C53)</f>
        <v>1354721.3099999996</v>
      </c>
      <c r="D54" s="217">
        <f t="shared" ref="D54:J54" si="7">SUM(D51:D53)</f>
        <v>788367.41999999993</v>
      </c>
      <c r="E54" s="217">
        <f t="shared" si="7"/>
        <v>566353.8899999999</v>
      </c>
      <c r="F54" s="217">
        <f t="shared" si="7"/>
        <v>566353.8899999999</v>
      </c>
      <c r="G54" s="217">
        <f t="shared" si="7"/>
        <v>8553.119999999999</v>
      </c>
      <c r="H54" s="217">
        <f t="shared" si="7"/>
        <v>39401.429999999993</v>
      </c>
      <c r="I54" s="217">
        <f t="shared" si="7"/>
        <v>47954.549999999981</v>
      </c>
      <c r="J54" s="217">
        <f t="shared" si="7"/>
        <v>0</v>
      </c>
    </row>
    <row r="56" spans="1:10" x14ac:dyDescent="0.25">
      <c r="A56" s="327" t="s">
        <v>87</v>
      </c>
      <c r="B56" s="327"/>
      <c r="C56" s="217">
        <f>C54-C45-C37-C28-C19-C10</f>
        <v>0</v>
      </c>
      <c r="D56" s="217">
        <f t="shared" ref="D56:J56" si="8">D54-D45-D37-D28-D19-D10</f>
        <v>0</v>
      </c>
      <c r="E56" s="217">
        <f t="shared" si="8"/>
        <v>0</v>
      </c>
      <c r="F56" s="217">
        <f t="shared" si="8"/>
        <v>0</v>
      </c>
      <c r="G56" s="217">
        <f t="shared" si="8"/>
        <v>0</v>
      </c>
      <c r="H56" s="217">
        <f t="shared" si="8"/>
        <v>0</v>
      </c>
      <c r="I56" s="217">
        <f t="shared" si="8"/>
        <v>0</v>
      </c>
      <c r="J56" s="217">
        <f t="shared" si="8"/>
        <v>0</v>
      </c>
    </row>
  </sheetData>
  <mergeCells count="1">
    <mergeCell ref="A56:B5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75"/>
  <sheetViews>
    <sheetView showGridLines="0" topLeftCell="A88" workbookViewId="0">
      <selection activeCell="B109" sqref="B109"/>
    </sheetView>
  </sheetViews>
  <sheetFormatPr defaultRowHeight="15" x14ac:dyDescent="0.25"/>
  <cols>
    <col min="1" max="1" width="8.28515625" bestFit="1" customWidth="1"/>
    <col min="2" max="2" width="16.7109375" customWidth="1"/>
    <col min="3" max="3" width="16.7109375" style="150" customWidth="1"/>
    <col min="4" max="4" width="16.7109375" customWidth="1"/>
    <col min="5" max="5" width="10.28515625" style="183" bestFit="1" customWidth="1"/>
    <col min="6" max="6" width="16.7109375" style="150" customWidth="1"/>
    <col min="7" max="7" width="16.7109375" customWidth="1"/>
    <col min="8" max="8" width="14.42578125" style="183" bestFit="1" customWidth="1"/>
    <col min="9" max="9" width="16.7109375" customWidth="1"/>
    <col min="10" max="10" width="21" bestFit="1" customWidth="1"/>
    <col min="11" max="11" width="16" bestFit="1" customWidth="1"/>
    <col min="13" max="13" width="10.28515625" bestFit="1" customWidth="1"/>
    <col min="15" max="15" width="10.28515625" bestFit="1" customWidth="1"/>
  </cols>
  <sheetData>
    <row r="3" spans="1:9" x14ac:dyDescent="0.25">
      <c r="A3" s="182" t="s">
        <v>76</v>
      </c>
      <c r="B3" s="182">
        <v>1</v>
      </c>
    </row>
    <row r="4" spans="1:9" x14ac:dyDescent="0.25">
      <c r="A4" s="167" t="s">
        <v>77</v>
      </c>
      <c r="B4" s="167" t="s">
        <v>78</v>
      </c>
      <c r="C4" s="167" t="s">
        <v>79</v>
      </c>
      <c r="D4" s="167" t="s">
        <v>64</v>
      </c>
      <c r="E4" s="167" t="s">
        <v>80</v>
      </c>
      <c r="F4" s="167" t="s">
        <v>66</v>
      </c>
      <c r="G4" s="167" t="s">
        <v>67</v>
      </c>
      <c r="H4" s="167" t="s">
        <v>80</v>
      </c>
      <c r="I4" s="167" t="s">
        <v>68</v>
      </c>
    </row>
    <row r="5" spans="1:9" x14ac:dyDescent="0.25">
      <c r="A5" s="184">
        <v>1102</v>
      </c>
      <c r="B5" s="148">
        <v>1473.6</v>
      </c>
      <c r="C5" s="148">
        <v>0</v>
      </c>
      <c r="D5" s="148">
        <v>1473.6</v>
      </c>
      <c r="E5" s="185">
        <v>1.6500000000000001E-2</v>
      </c>
      <c r="F5" s="148">
        <f t="shared" ref="F5:F10" si="0">D5*E5</f>
        <v>24.314399999999999</v>
      </c>
      <c r="G5" s="148">
        <v>1473.6</v>
      </c>
      <c r="H5" s="185">
        <v>7.5999999999999998E-2</v>
      </c>
      <c r="I5" s="148">
        <f t="shared" ref="I5:I11" si="1">G5*H5</f>
        <v>111.99359999999999</v>
      </c>
    </row>
    <row r="6" spans="1:9" x14ac:dyDescent="0.25">
      <c r="A6" s="184">
        <v>1403</v>
      </c>
      <c r="B6" s="148">
        <v>24640.400000000001</v>
      </c>
      <c r="C6" s="148">
        <v>2912.74</v>
      </c>
      <c r="D6" s="148">
        <v>24640.400000000001</v>
      </c>
      <c r="E6" s="185">
        <v>1.6500000000000001E-2</v>
      </c>
      <c r="F6" s="148">
        <f t="shared" si="0"/>
        <v>406.56660000000005</v>
      </c>
      <c r="G6" s="148">
        <v>24640.400000000001</v>
      </c>
      <c r="H6" s="185">
        <v>7.5999999999999998E-2</v>
      </c>
      <c r="I6" s="148">
        <f t="shared" si="1"/>
        <v>1872.6704</v>
      </c>
    </row>
    <row r="7" spans="1:9" x14ac:dyDescent="0.25">
      <c r="A7" s="184">
        <v>1411</v>
      </c>
      <c r="B7" s="148">
        <v>3181.8199999999997</v>
      </c>
      <c r="C7" s="148">
        <v>13975.88</v>
      </c>
      <c r="D7" s="148">
        <v>3181.8199999999997</v>
      </c>
      <c r="E7" s="185">
        <v>1.6500000000000001E-2</v>
      </c>
      <c r="F7" s="148">
        <f t="shared" si="0"/>
        <v>52.500029999999995</v>
      </c>
      <c r="G7" s="148">
        <v>3181.8199999999997</v>
      </c>
      <c r="H7" s="185">
        <v>7.5999999999999998E-2</v>
      </c>
      <c r="I7" s="148">
        <f t="shared" si="1"/>
        <v>241.81831999999997</v>
      </c>
    </row>
    <row r="8" spans="1:9" x14ac:dyDescent="0.25">
      <c r="A8" s="184">
        <v>1652</v>
      </c>
      <c r="B8" s="148">
        <v>22636.210000000003</v>
      </c>
      <c r="C8" s="148">
        <v>0</v>
      </c>
      <c r="D8" s="148">
        <v>22636.210000000003</v>
      </c>
      <c r="E8" s="185">
        <v>1.6500000000000001E-2</v>
      </c>
      <c r="F8" s="148">
        <f t="shared" si="0"/>
        <v>373.49746500000009</v>
      </c>
      <c r="G8" s="148">
        <v>22636.210000000003</v>
      </c>
      <c r="H8" s="185">
        <v>7.5999999999999998E-2</v>
      </c>
      <c r="I8" s="148">
        <f t="shared" si="1"/>
        <v>1720.3519600000002</v>
      </c>
    </row>
    <row r="9" spans="1:9" x14ac:dyDescent="0.25">
      <c r="A9" s="184">
        <v>2102</v>
      </c>
      <c r="B9" s="148">
        <v>391.72</v>
      </c>
      <c r="C9" s="148">
        <v>0</v>
      </c>
      <c r="D9" s="148">
        <v>391.72</v>
      </c>
      <c r="E9" s="185">
        <v>1.6500000000000001E-2</v>
      </c>
      <c r="F9" s="148">
        <f t="shared" si="0"/>
        <v>6.4633800000000008</v>
      </c>
      <c r="G9" s="148">
        <v>391.72</v>
      </c>
      <c r="H9" s="185">
        <v>7.5999999999999998E-2</v>
      </c>
      <c r="I9" s="148">
        <f t="shared" si="1"/>
        <v>29.770720000000001</v>
      </c>
    </row>
    <row r="10" spans="1:9" x14ac:dyDescent="0.25">
      <c r="A10" s="184">
        <v>2403</v>
      </c>
      <c r="B10" s="148">
        <v>94750.98000000001</v>
      </c>
      <c r="C10" s="148">
        <v>157001.40000000002</v>
      </c>
      <c r="D10" s="148">
        <v>94750.98000000001</v>
      </c>
      <c r="E10" s="185">
        <v>1.6500000000000001E-2</v>
      </c>
      <c r="F10" s="148">
        <f t="shared" si="0"/>
        <v>1563.3911700000003</v>
      </c>
      <c r="G10" s="148">
        <v>94750.98000000001</v>
      </c>
      <c r="H10" s="185">
        <v>7.5999999999999998E-2</v>
      </c>
      <c r="I10" s="148">
        <f t="shared" si="1"/>
        <v>7201.0744800000002</v>
      </c>
    </row>
    <row r="11" spans="1:9" x14ac:dyDescent="0.25">
      <c r="A11" s="184"/>
      <c r="B11" s="148"/>
      <c r="C11" s="148"/>
      <c r="D11" s="148"/>
      <c r="E11" s="185"/>
      <c r="F11" s="148"/>
      <c r="G11" s="148"/>
      <c r="H11" s="185">
        <v>7.5999999999999998E-2</v>
      </c>
      <c r="I11" s="148">
        <f t="shared" si="1"/>
        <v>0</v>
      </c>
    </row>
    <row r="12" spans="1:9" x14ac:dyDescent="0.25">
      <c r="C12"/>
      <c r="E12" s="185"/>
      <c r="F12"/>
      <c r="H12" s="182"/>
    </row>
    <row r="13" spans="1:9" x14ac:dyDescent="0.25">
      <c r="A13" s="176" t="s">
        <v>19</v>
      </c>
      <c r="B13" s="153">
        <f>SUBTOTAL(9,B5:B11)</f>
        <v>147074.73000000001</v>
      </c>
      <c r="C13" s="153">
        <f>SUBTOTAL(9,C5:C11)</f>
        <v>173890.02000000002</v>
      </c>
      <c r="D13" s="153">
        <f>SUBTOTAL(9,D5:D11)</f>
        <v>147074.73000000001</v>
      </c>
      <c r="E13" s="167" t="s">
        <v>49</v>
      </c>
      <c r="F13" s="153">
        <f>SUBTOTAL(9,F5:F11)</f>
        <v>2426.7330450000004</v>
      </c>
      <c r="G13" s="153">
        <f>SUBTOTAL(9,G5:G11)</f>
        <v>147074.73000000001</v>
      </c>
      <c r="H13" s="167" t="s">
        <v>49</v>
      </c>
      <c r="I13" s="153">
        <f>SUBTOTAL(9,I5:I11)</f>
        <v>11177.679480000001</v>
      </c>
    </row>
    <row r="16" spans="1:9" x14ac:dyDescent="0.25">
      <c r="A16" s="182" t="s">
        <v>76</v>
      </c>
      <c r="B16" s="182">
        <v>2</v>
      </c>
    </row>
    <row r="17" spans="1:9" x14ac:dyDescent="0.25">
      <c r="A17" s="167" t="s">
        <v>77</v>
      </c>
      <c r="B17" s="167" t="s">
        <v>78</v>
      </c>
      <c r="C17" s="167" t="s">
        <v>79</v>
      </c>
      <c r="D17" s="167" t="s">
        <v>64</v>
      </c>
      <c r="E17" s="167" t="s">
        <v>80</v>
      </c>
      <c r="F17" s="167" t="s">
        <v>66</v>
      </c>
      <c r="G17" s="167" t="s">
        <v>67</v>
      </c>
      <c r="H17" s="167" t="s">
        <v>80</v>
      </c>
      <c r="I17" s="167" t="s">
        <v>68</v>
      </c>
    </row>
    <row r="18" spans="1:9" x14ac:dyDescent="0.25">
      <c r="A18" s="184">
        <v>1102</v>
      </c>
      <c r="B18" s="148">
        <v>2578.8000000000002</v>
      </c>
      <c r="C18" s="148">
        <v>0</v>
      </c>
      <c r="D18" s="148">
        <v>2578.8000000000002</v>
      </c>
      <c r="E18" s="185">
        <v>1.6500000000000001E-2</v>
      </c>
      <c r="F18" s="148">
        <f t="shared" ref="F18:F23" si="2">D18*E18</f>
        <v>42.550200000000004</v>
      </c>
      <c r="G18" s="148">
        <v>2578.8000000000002</v>
      </c>
      <c r="H18" s="185">
        <v>7.5999999999999998E-2</v>
      </c>
      <c r="I18" s="148">
        <f t="shared" ref="I18:I23" si="3">G18*H18</f>
        <v>195.9888</v>
      </c>
    </row>
    <row r="19" spans="1:9" x14ac:dyDescent="0.25">
      <c r="A19" s="184">
        <v>1403</v>
      </c>
      <c r="B19" s="148">
        <v>17583.600000000002</v>
      </c>
      <c r="C19" s="148">
        <v>940.5</v>
      </c>
      <c r="D19" s="148">
        <v>17583.600000000002</v>
      </c>
      <c r="E19" s="185">
        <v>1.6500000000000001E-2</v>
      </c>
      <c r="F19" s="148">
        <f t="shared" si="2"/>
        <v>290.12940000000003</v>
      </c>
      <c r="G19" s="148">
        <v>17583.600000000002</v>
      </c>
      <c r="H19" s="185">
        <v>7.5999999999999998E-2</v>
      </c>
      <c r="I19" s="148">
        <f t="shared" si="3"/>
        <v>1336.3536000000001</v>
      </c>
    </row>
    <row r="20" spans="1:9" x14ac:dyDescent="0.25">
      <c r="A20" s="184">
        <v>1411</v>
      </c>
      <c r="B20" s="148">
        <v>2245.5099999999998</v>
      </c>
      <c r="C20" s="148">
        <v>10718.29</v>
      </c>
      <c r="D20" s="148">
        <v>2245.5099999999998</v>
      </c>
      <c r="E20" s="185">
        <v>1.6500000000000001E-2</v>
      </c>
      <c r="F20" s="148">
        <f t="shared" si="2"/>
        <v>37.050914999999996</v>
      </c>
      <c r="G20" s="148">
        <v>2245.5099999999998</v>
      </c>
      <c r="H20" s="185">
        <v>7.5999999999999998E-2</v>
      </c>
      <c r="I20" s="148">
        <f t="shared" si="3"/>
        <v>170.65875999999997</v>
      </c>
    </row>
    <row r="21" spans="1:9" x14ac:dyDescent="0.25">
      <c r="A21" s="184">
        <v>1652</v>
      </c>
      <c r="B21" s="148">
        <v>11792.42</v>
      </c>
      <c r="C21" s="148">
        <v>0</v>
      </c>
      <c r="D21" s="148">
        <v>11792.42</v>
      </c>
      <c r="E21" s="185">
        <v>1.6500000000000001E-2</v>
      </c>
      <c r="F21" s="148">
        <f t="shared" si="2"/>
        <v>194.57493000000002</v>
      </c>
      <c r="G21" s="148">
        <v>11792.42</v>
      </c>
      <c r="H21" s="185">
        <v>7.5999999999999998E-2</v>
      </c>
      <c r="I21" s="148">
        <f t="shared" si="3"/>
        <v>896.22392000000002</v>
      </c>
    </row>
    <row r="22" spans="1:9" x14ac:dyDescent="0.25">
      <c r="A22" s="184">
        <v>2102</v>
      </c>
      <c r="B22" s="148">
        <v>6109.35</v>
      </c>
      <c r="C22" s="148">
        <v>0</v>
      </c>
      <c r="D22" s="148">
        <v>6109.35</v>
      </c>
      <c r="E22" s="185">
        <v>1.6500000000000001E-2</v>
      </c>
      <c r="F22" s="148">
        <f t="shared" si="2"/>
        <v>100.804275</v>
      </c>
      <c r="G22" s="148">
        <v>6109.35</v>
      </c>
      <c r="H22" s="185">
        <v>7.5999999999999998E-2</v>
      </c>
      <c r="I22" s="148">
        <f t="shared" si="3"/>
        <v>464.31060000000002</v>
      </c>
    </row>
    <row r="23" spans="1:9" x14ac:dyDescent="0.25">
      <c r="A23" s="184">
        <v>2403</v>
      </c>
      <c r="B23" s="148">
        <v>59288.189999999981</v>
      </c>
      <c r="C23" s="148">
        <v>99743.740000000049</v>
      </c>
      <c r="D23" s="148">
        <v>59288.189999999981</v>
      </c>
      <c r="E23" s="185">
        <v>1.6500000000000001E-2</v>
      </c>
      <c r="F23" s="148">
        <f t="shared" si="2"/>
        <v>978.25513499999977</v>
      </c>
      <c r="G23" s="148">
        <v>59288.189999999981</v>
      </c>
      <c r="H23" s="185">
        <v>7.5999999999999998E-2</v>
      </c>
      <c r="I23" s="148">
        <f t="shared" si="3"/>
        <v>4505.902439999998</v>
      </c>
    </row>
    <row r="24" spans="1:9" x14ac:dyDescent="0.25">
      <c r="C24"/>
      <c r="E24" s="185">
        <v>1.6500000000000001E-2</v>
      </c>
      <c r="F24"/>
      <c r="H24" s="182"/>
    </row>
    <row r="25" spans="1:9" x14ac:dyDescent="0.25">
      <c r="A25" s="176" t="s">
        <v>19</v>
      </c>
      <c r="B25" s="153">
        <f>SUBTOTAL(9,B18:B23)</f>
        <v>99597.869999999981</v>
      </c>
      <c r="C25" s="153">
        <f>SUBTOTAL(9,C18:C23)</f>
        <v>111402.53000000006</v>
      </c>
      <c r="D25" s="153">
        <f>SUBTOTAL(9,D18:D23)</f>
        <v>99597.869999999981</v>
      </c>
      <c r="E25" s="167" t="s">
        <v>49</v>
      </c>
      <c r="F25" s="153">
        <f>SUBTOTAL(9,F18:F23)</f>
        <v>1643.3648549999998</v>
      </c>
      <c r="G25" s="153">
        <f>SUBTOTAL(9,G18:G23)</f>
        <v>99597.869999999981</v>
      </c>
      <c r="H25" s="167" t="s">
        <v>49</v>
      </c>
      <c r="I25" s="153">
        <f>SUBTOTAL(9,I18:I23)</f>
        <v>7569.438119999998</v>
      </c>
    </row>
    <row r="28" spans="1:9" x14ac:dyDescent="0.25">
      <c r="A28" s="182" t="s">
        <v>76</v>
      </c>
      <c r="B28" s="182">
        <v>3</v>
      </c>
    </row>
    <row r="29" spans="1:9" x14ac:dyDescent="0.25">
      <c r="A29" s="167" t="s">
        <v>77</v>
      </c>
      <c r="B29" s="167" t="s">
        <v>78</v>
      </c>
      <c r="C29" s="167" t="s">
        <v>79</v>
      </c>
      <c r="D29" s="167" t="s">
        <v>64</v>
      </c>
      <c r="E29" s="167" t="s">
        <v>80</v>
      </c>
      <c r="F29" s="167" t="s">
        <v>66</v>
      </c>
      <c r="G29" s="167" t="s">
        <v>67</v>
      </c>
      <c r="H29" s="167" t="s">
        <v>80</v>
      </c>
      <c r="I29" s="167" t="s">
        <v>68</v>
      </c>
    </row>
    <row r="30" spans="1:9" x14ac:dyDescent="0.25">
      <c r="A30" s="184">
        <v>1102</v>
      </c>
      <c r="B30" s="148">
        <v>1842</v>
      </c>
      <c r="C30" s="148">
        <v>0</v>
      </c>
      <c r="D30" s="148">
        <v>1842</v>
      </c>
      <c r="E30" s="185">
        <v>1.6500000000000001E-2</v>
      </c>
      <c r="F30" s="148">
        <f t="shared" ref="F30:F36" si="4">D30*E30</f>
        <v>30.393000000000001</v>
      </c>
      <c r="G30" s="148">
        <v>1842</v>
      </c>
      <c r="H30" s="185">
        <v>7.5999999999999998E-2</v>
      </c>
      <c r="I30" s="148">
        <f t="shared" ref="I30:I36" si="5">G30*H30</f>
        <v>139.99199999999999</v>
      </c>
    </row>
    <row r="31" spans="1:9" x14ac:dyDescent="0.25">
      <c r="A31" s="184">
        <v>1403</v>
      </c>
      <c r="B31" s="148">
        <v>24847.88</v>
      </c>
      <c r="C31" s="148">
        <v>196.4</v>
      </c>
      <c r="D31" s="148">
        <v>24847.88</v>
      </c>
      <c r="E31" s="185">
        <v>1.6500000000000001E-2</v>
      </c>
      <c r="F31" s="148">
        <f t="shared" si="4"/>
        <v>409.99002000000002</v>
      </c>
      <c r="G31" s="148">
        <v>24847.88</v>
      </c>
      <c r="H31" s="185">
        <v>7.5999999999999998E-2</v>
      </c>
      <c r="I31" s="148">
        <f t="shared" si="5"/>
        <v>1888.4388799999999</v>
      </c>
    </row>
    <row r="32" spans="1:9" x14ac:dyDescent="0.25">
      <c r="A32" s="184">
        <v>1411</v>
      </c>
      <c r="B32" s="148">
        <v>2972.440000000001</v>
      </c>
      <c r="C32" s="148">
        <v>2828.05</v>
      </c>
      <c r="D32" s="148">
        <v>2972.440000000001</v>
      </c>
      <c r="E32" s="185">
        <v>1.6500000000000001E-2</v>
      </c>
      <c r="F32" s="148">
        <f t="shared" si="4"/>
        <v>49.04526000000002</v>
      </c>
      <c r="G32" s="148">
        <v>2972.440000000001</v>
      </c>
      <c r="H32" s="185">
        <v>7.5999999999999998E-2</v>
      </c>
      <c r="I32" s="148">
        <f t="shared" si="5"/>
        <v>225.90544000000006</v>
      </c>
    </row>
    <row r="33" spans="1:9" x14ac:dyDescent="0.25">
      <c r="A33" s="184">
        <v>1652</v>
      </c>
      <c r="B33" s="148">
        <v>10696.07</v>
      </c>
      <c r="C33" s="148">
        <v>0</v>
      </c>
      <c r="D33" s="148">
        <v>10696.07</v>
      </c>
      <c r="E33" s="185">
        <v>1.6500000000000001E-2</v>
      </c>
      <c r="F33" s="148">
        <f t="shared" si="4"/>
        <v>176.48515499999999</v>
      </c>
      <c r="G33" s="148">
        <v>10696.07</v>
      </c>
      <c r="H33" s="185">
        <v>7.5999999999999998E-2</v>
      </c>
      <c r="I33" s="148">
        <f t="shared" si="5"/>
        <v>812.90131999999994</v>
      </c>
    </row>
    <row r="34" spans="1:9" x14ac:dyDescent="0.25">
      <c r="A34" s="184">
        <v>2102</v>
      </c>
      <c r="B34" s="148">
        <v>4140</v>
      </c>
      <c r="C34" s="148">
        <v>0</v>
      </c>
      <c r="D34" s="148">
        <v>4140</v>
      </c>
      <c r="E34" s="185">
        <v>1.6500000000000001E-2</v>
      </c>
      <c r="F34" s="148">
        <f t="shared" si="4"/>
        <v>68.31</v>
      </c>
      <c r="G34" s="148">
        <v>4140</v>
      </c>
      <c r="H34" s="185">
        <v>7.5999999999999998E-2</v>
      </c>
      <c r="I34" s="148">
        <f t="shared" si="5"/>
        <v>314.64</v>
      </c>
    </row>
    <row r="35" spans="1:9" x14ac:dyDescent="0.25">
      <c r="A35" s="184">
        <v>2403</v>
      </c>
      <c r="B35" s="148">
        <v>12952.43</v>
      </c>
      <c r="C35" s="148">
        <v>13526.880000000001</v>
      </c>
      <c r="D35" s="148">
        <v>12952.43</v>
      </c>
      <c r="E35" s="185">
        <v>1.6500000000000001E-2</v>
      </c>
      <c r="F35" s="148">
        <f t="shared" si="4"/>
        <v>213.71509500000002</v>
      </c>
      <c r="G35" s="148">
        <v>12952.43</v>
      </c>
      <c r="H35" s="185">
        <v>7.5999999999999998E-2</v>
      </c>
      <c r="I35" s="148">
        <f t="shared" si="5"/>
        <v>984.38468</v>
      </c>
    </row>
    <row r="36" spans="1:9" x14ac:dyDescent="0.25">
      <c r="A36" s="184"/>
      <c r="B36" s="148"/>
      <c r="C36" s="148"/>
      <c r="D36" s="148"/>
      <c r="E36" s="185">
        <v>1.6500000000000001E-2</v>
      </c>
      <c r="F36" s="148">
        <f t="shared" si="4"/>
        <v>0</v>
      </c>
      <c r="G36" s="148"/>
      <c r="H36" s="185">
        <v>7.5999999999999998E-2</v>
      </c>
      <c r="I36" s="148">
        <f t="shared" si="5"/>
        <v>0</v>
      </c>
    </row>
    <row r="37" spans="1:9" x14ac:dyDescent="0.25">
      <c r="C37"/>
      <c r="E37" s="182"/>
      <c r="F37"/>
      <c r="H37" s="182"/>
    </row>
    <row r="38" spans="1:9" x14ac:dyDescent="0.25">
      <c r="A38" s="176" t="s">
        <v>19</v>
      </c>
      <c r="B38" s="153">
        <f>SUBTOTAL(9,B30:B36)</f>
        <v>57450.82</v>
      </c>
      <c r="C38" s="153">
        <f>SUBTOTAL(9,C30:C36)</f>
        <v>16551.330000000002</v>
      </c>
      <c r="D38" s="153">
        <f>SUBTOTAL(9,D30:D36)</f>
        <v>57450.82</v>
      </c>
      <c r="E38" s="167" t="s">
        <v>49</v>
      </c>
      <c r="F38" s="153">
        <f>SUBTOTAL(9,F30:F36)</f>
        <v>947.93853000000013</v>
      </c>
      <c r="G38" s="153">
        <f>SUBTOTAL(9,G30:G36)</f>
        <v>57450.82</v>
      </c>
      <c r="H38" s="167" t="s">
        <v>49</v>
      </c>
      <c r="I38" s="153">
        <f>SUBTOTAL(9,I30:I36)</f>
        <v>4366.2623199999998</v>
      </c>
    </row>
    <row r="42" spans="1:9" x14ac:dyDescent="0.25">
      <c r="A42" s="182" t="s">
        <v>76</v>
      </c>
      <c r="B42" s="182">
        <v>4</v>
      </c>
    </row>
    <row r="43" spans="1:9" x14ac:dyDescent="0.25">
      <c r="A43" s="167" t="s">
        <v>77</v>
      </c>
      <c r="B43" s="167" t="s">
        <v>78</v>
      </c>
      <c r="C43" s="167" t="s">
        <v>79</v>
      </c>
      <c r="D43" s="167" t="s">
        <v>64</v>
      </c>
      <c r="E43" s="167" t="s">
        <v>80</v>
      </c>
      <c r="F43" s="167" t="s">
        <v>66</v>
      </c>
      <c r="G43" s="167" t="s">
        <v>67</v>
      </c>
      <c r="H43" s="167" t="s">
        <v>80</v>
      </c>
      <c r="I43" s="167" t="s">
        <v>68</v>
      </c>
    </row>
    <row r="44" spans="1:9" x14ac:dyDescent="0.25">
      <c r="A44" s="184">
        <v>1102</v>
      </c>
      <c r="B44" s="148">
        <v>2578.7999999999997</v>
      </c>
      <c r="C44" s="148">
        <v>0</v>
      </c>
      <c r="D44" s="148">
        <v>2578.7999999999997</v>
      </c>
      <c r="E44" s="185">
        <v>1.6500000000000001E-2</v>
      </c>
      <c r="F44" s="148">
        <f t="shared" ref="F44:F51" si="6">D44*E44</f>
        <v>42.550199999999997</v>
      </c>
      <c r="G44" s="148">
        <v>2578.7999999999997</v>
      </c>
      <c r="H44" s="185">
        <v>7.5999999999999998E-2</v>
      </c>
      <c r="I44" s="148">
        <f t="shared" ref="I44:I51" si="7">G44*H44</f>
        <v>195.98879999999997</v>
      </c>
    </row>
    <row r="45" spans="1:9" x14ac:dyDescent="0.25">
      <c r="A45" s="184">
        <v>1202</v>
      </c>
      <c r="B45" s="148">
        <v>125.49</v>
      </c>
      <c r="C45" s="148">
        <v>0</v>
      </c>
      <c r="D45" s="148">
        <v>125.49</v>
      </c>
      <c r="E45" s="185">
        <v>1.6500000000000001E-2</v>
      </c>
      <c r="F45" s="148">
        <f t="shared" si="6"/>
        <v>2.0705849999999999</v>
      </c>
      <c r="G45" s="148">
        <v>125.49</v>
      </c>
      <c r="H45" s="185">
        <v>7.5999999999999998E-2</v>
      </c>
      <c r="I45" s="148">
        <f t="shared" si="7"/>
        <v>9.5372399999999988</v>
      </c>
    </row>
    <row r="46" spans="1:9" x14ac:dyDescent="0.25">
      <c r="A46" s="184">
        <v>1403</v>
      </c>
      <c r="B46" s="148">
        <v>18946.18</v>
      </c>
      <c r="C46" s="148">
        <v>65.599999999999994</v>
      </c>
      <c r="D46" s="148">
        <v>18946.18</v>
      </c>
      <c r="E46" s="185">
        <v>1.6500000000000001E-2</v>
      </c>
      <c r="F46" s="148">
        <f t="shared" si="6"/>
        <v>312.61197000000004</v>
      </c>
      <c r="G46" s="148">
        <v>18946.18</v>
      </c>
      <c r="H46" s="185">
        <v>7.5999999999999998E-2</v>
      </c>
      <c r="I46" s="148">
        <f t="shared" si="7"/>
        <v>1439.90968</v>
      </c>
    </row>
    <row r="47" spans="1:9" x14ac:dyDescent="0.25">
      <c r="A47" s="184">
        <v>1411</v>
      </c>
      <c r="B47" s="148">
        <v>1841.81</v>
      </c>
      <c r="C47" s="148">
        <v>12079</v>
      </c>
      <c r="D47" s="148">
        <v>1841.81</v>
      </c>
      <c r="E47" s="185">
        <v>1.6500000000000001E-2</v>
      </c>
      <c r="F47" s="148">
        <f t="shared" si="6"/>
        <v>30.389865</v>
      </c>
      <c r="G47" s="148">
        <v>1841.81</v>
      </c>
      <c r="H47" s="185">
        <v>7.5999999999999998E-2</v>
      </c>
      <c r="I47" s="148">
        <f t="shared" si="7"/>
        <v>139.97755999999998</v>
      </c>
    </row>
    <row r="48" spans="1:9" x14ac:dyDescent="0.25">
      <c r="A48" s="184">
        <v>1652</v>
      </c>
      <c r="B48" s="148">
        <v>23138.71</v>
      </c>
      <c r="C48" s="148">
        <v>0</v>
      </c>
      <c r="D48" s="148">
        <v>23138.71</v>
      </c>
      <c r="E48" s="185">
        <v>1.6500000000000001E-2</v>
      </c>
      <c r="F48" s="148">
        <f t="shared" si="6"/>
        <v>381.78871500000002</v>
      </c>
      <c r="G48" s="148">
        <v>23138.71</v>
      </c>
      <c r="H48" s="185">
        <v>7.5999999999999998E-2</v>
      </c>
      <c r="I48" s="148">
        <f t="shared" si="7"/>
        <v>1758.5419599999998</v>
      </c>
    </row>
    <row r="49" spans="1:9" x14ac:dyDescent="0.25">
      <c r="A49" s="184">
        <v>1661</v>
      </c>
      <c r="B49" s="148">
        <v>527.99</v>
      </c>
      <c r="C49" s="148">
        <v>0</v>
      </c>
      <c r="D49" s="148">
        <v>527.99</v>
      </c>
      <c r="E49" s="185">
        <v>1.6500000000000001E-2</v>
      </c>
      <c r="F49" s="148">
        <f t="shared" si="6"/>
        <v>8.7118350000000007</v>
      </c>
      <c r="G49" s="148">
        <v>527.99</v>
      </c>
      <c r="H49" s="185">
        <v>7.5999999999999998E-2</v>
      </c>
      <c r="I49" s="148">
        <f t="shared" si="7"/>
        <v>40.12724</v>
      </c>
    </row>
    <row r="50" spans="1:9" x14ac:dyDescent="0.25">
      <c r="A50" s="184">
        <v>2102</v>
      </c>
      <c r="B50" s="148">
        <v>8199.36</v>
      </c>
      <c r="C50" s="148">
        <v>0</v>
      </c>
      <c r="D50" s="148">
        <v>8199.36</v>
      </c>
      <c r="E50" s="185">
        <v>1.6500000000000001E-2</v>
      </c>
      <c r="F50" s="148">
        <f t="shared" si="6"/>
        <v>135.28944000000001</v>
      </c>
      <c r="G50" s="148">
        <v>623.15</v>
      </c>
      <c r="H50" s="185">
        <v>7.5999999999999998E-2</v>
      </c>
      <c r="I50" s="148">
        <f t="shared" si="7"/>
        <v>47.359399999999994</v>
      </c>
    </row>
    <row r="51" spans="1:9" x14ac:dyDescent="0.25">
      <c r="A51" s="184">
        <v>2403</v>
      </c>
      <c r="B51" s="148">
        <v>61071.729999999952</v>
      </c>
      <c r="C51" s="148">
        <v>40339.409999999996</v>
      </c>
      <c r="D51" s="148">
        <v>61071.729999999952</v>
      </c>
      <c r="E51" s="185">
        <v>1.6500000000000001E-2</v>
      </c>
      <c r="F51" s="148">
        <f t="shared" si="6"/>
        <v>1007.6835449999993</v>
      </c>
      <c r="G51" s="148">
        <v>61071.729999999952</v>
      </c>
      <c r="H51" s="185">
        <v>7.5999999999999998E-2</v>
      </c>
      <c r="I51" s="148">
        <f t="shared" si="7"/>
        <v>4641.4514799999961</v>
      </c>
    </row>
    <row r="52" spans="1:9" x14ac:dyDescent="0.25">
      <c r="C52"/>
      <c r="E52" s="182"/>
      <c r="F52"/>
      <c r="H52" s="182"/>
    </row>
    <row r="53" spans="1:9" x14ac:dyDescent="0.25">
      <c r="A53" s="176" t="s">
        <v>19</v>
      </c>
      <c r="B53" s="153">
        <f>SUBTOTAL(9,B44:B51)</f>
        <v>116430.06999999995</v>
      </c>
      <c r="C53" s="153">
        <f>SUBTOTAL(9,C44:C51)</f>
        <v>52484.009999999995</v>
      </c>
      <c r="D53" s="153">
        <f>SUBTOTAL(9,D44:D51)</f>
        <v>116430.06999999995</v>
      </c>
      <c r="E53" s="167" t="s">
        <v>49</v>
      </c>
      <c r="F53" s="153">
        <f>SUBTOTAL(9,F44:F51)</f>
        <v>1921.0961549999993</v>
      </c>
      <c r="G53" s="153">
        <f>SUBTOTAL(9,G44:G51)</f>
        <v>108853.85999999996</v>
      </c>
      <c r="H53" s="167" t="s">
        <v>49</v>
      </c>
      <c r="I53" s="153">
        <f>SUBTOTAL(9,I44:I51)</f>
        <v>8272.8933599999946</v>
      </c>
    </row>
    <row r="57" spans="1:9" x14ac:dyDescent="0.25">
      <c r="A57" s="182" t="s">
        <v>76</v>
      </c>
      <c r="B57" s="182">
        <v>5</v>
      </c>
    </row>
    <row r="58" spans="1:9" x14ac:dyDescent="0.25">
      <c r="A58" s="167" t="s">
        <v>77</v>
      </c>
      <c r="B58" s="167" t="s">
        <v>78</v>
      </c>
      <c r="C58" s="167" t="s">
        <v>79</v>
      </c>
      <c r="D58" s="167" t="s">
        <v>64</v>
      </c>
      <c r="E58" s="167" t="s">
        <v>80</v>
      </c>
      <c r="F58" s="167" t="s">
        <v>66</v>
      </c>
      <c r="G58" s="167" t="s">
        <v>67</v>
      </c>
      <c r="H58" s="167" t="s">
        <v>80</v>
      </c>
      <c r="I58" s="167" t="s">
        <v>68</v>
      </c>
    </row>
    <row r="59" spans="1:9" x14ac:dyDescent="0.25">
      <c r="A59" s="184">
        <v>1102</v>
      </c>
      <c r="B59" s="148">
        <v>1893.6</v>
      </c>
      <c r="C59" s="148">
        <v>0</v>
      </c>
      <c r="D59" s="148">
        <v>1893.6</v>
      </c>
      <c r="E59" s="185">
        <v>1.6500000000000001E-2</v>
      </c>
      <c r="F59" s="148">
        <f t="shared" ref="F59:F65" si="8">D59*E59</f>
        <v>31.244399999999999</v>
      </c>
      <c r="G59" s="148">
        <v>1893.6</v>
      </c>
      <c r="H59" s="185">
        <v>7.5999999999999998E-2</v>
      </c>
      <c r="I59" s="148">
        <f t="shared" ref="I59:I65" si="9">G59*H59</f>
        <v>143.9136</v>
      </c>
    </row>
    <row r="60" spans="1:9" x14ac:dyDescent="0.25">
      <c r="A60" s="184">
        <v>1202</v>
      </c>
      <c r="B60" s="148">
        <v>1000</v>
      </c>
      <c r="C60" s="148">
        <v>0</v>
      </c>
      <c r="D60" s="148">
        <v>1000</v>
      </c>
      <c r="E60" s="185">
        <v>1.6500000000000001E-2</v>
      </c>
      <c r="F60" s="148">
        <f t="shared" si="8"/>
        <v>16.5</v>
      </c>
      <c r="G60" s="148">
        <v>1000</v>
      </c>
      <c r="H60" s="185">
        <v>7.5999999999999998E-2</v>
      </c>
      <c r="I60" s="148">
        <f t="shared" si="9"/>
        <v>76</v>
      </c>
    </row>
    <row r="61" spans="1:9" x14ac:dyDescent="0.25">
      <c r="A61" s="184">
        <v>1403</v>
      </c>
      <c r="B61" s="148">
        <v>18809.830000000002</v>
      </c>
      <c r="C61" s="148">
        <v>3280.6</v>
      </c>
      <c r="D61" s="148">
        <v>18809.830000000002</v>
      </c>
      <c r="E61" s="185">
        <v>1.6500000000000001E-2</v>
      </c>
      <c r="F61" s="148">
        <f t="shared" si="8"/>
        <v>310.36219500000004</v>
      </c>
      <c r="G61" s="148">
        <v>18809.830000000002</v>
      </c>
      <c r="H61" s="185">
        <v>7.5999999999999998E-2</v>
      </c>
      <c r="I61" s="148">
        <f t="shared" si="9"/>
        <v>1429.5470800000001</v>
      </c>
    </row>
    <row r="62" spans="1:9" x14ac:dyDescent="0.25">
      <c r="A62" s="184">
        <v>1411</v>
      </c>
      <c r="B62" s="148">
        <v>5758.67</v>
      </c>
      <c r="C62" s="148">
        <v>4433.88</v>
      </c>
      <c r="D62" s="148">
        <v>5758.67</v>
      </c>
      <c r="E62" s="185">
        <v>1.6500000000000001E-2</v>
      </c>
      <c r="F62" s="148">
        <f t="shared" si="8"/>
        <v>95.018055000000004</v>
      </c>
      <c r="G62" s="148">
        <v>5758.67</v>
      </c>
      <c r="H62" s="185">
        <v>7.5999999999999998E-2</v>
      </c>
      <c r="I62" s="148">
        <f t="shared" si="9"/>
        <v>437.65891999999997</v>
      </c>
    </row>
    <row r="63" spans="1:9" x14ac:dyDescent="0.25">
      <c r="A63" s="184">
        <v>1652</v>
      </c>
      <c r="B63" s="148">
        <v>13952.470000000001</v>
      </c>
      <c r="C63" s="148">
        <v>0</v>
      </c>
      <c r="D63" s="148">
        <v>13952.470000000001</v>
      </c>
      <c r="E63" s="185">
        <v>1.6500000000000001E-2</v>
      </c>
      <c r="F63" s="148">
        <f t="shared" si="8"/>
        <v>230.21575500000003</v>
      </c>
      <c r="G63" s="148">
        <v>13952.470000000001</v>
      </c>
      <c r="H63" s="185">
        <v>7.5999999999999998E-2</v>
      </c>
      <c r="I63" s="148">
        <f t="shared" si="9"/>
        <v>1060.3877200000002</v>
      </c>
    </row>
    <row r="64" spans="1:9" x14ac:dyDescent="0.25">
      <c r="A64" s="184">
        <v>2102</v>
      </c>
      <c r="B64" s="148">
        <v>3900.5899999999997</v>
      </c>
      <c r="C64" s="148">
        <v>0</v>
      </c>
      <c r="D64" s="148">
        <v>3900.5899999999997</v>
      </c>
      <c r="E64" s="185">
        <v>1.6500000000000001E-2</v>
      </c>
      <c r="F64" s="148">
        <f t="shared" si="8"/>
        <v>64.359735000000001</v>
      </c>
      <c r="G64" s="148">
        <v>3900.5899999999997</v>
      </c>
      <c r="H64" s="185">
        <v>7.5999999999999998E-2</v>
      </c>
      <c r="I64" s="148">
        <f t="shared" si="9"/>
        <v>296.44483999999994</v>
      </c>
    </row>
    <row r="65" spans="1:10" x14ac:dyDescent="0.25">
      <c r="A65" s="184">
        <v>2403</v>
      </c>
      <c r="B65" s="148">
        <v>21325.239999999998</v>
      </c>
      <c r="C65" s="148">
        <v>18696.890000000003</v>
      </c>
      <c r="D65" s="148">
        <v>21325.239999999998</v>
      </c>
      <c r="E65" s="185">
        <v>1.6500000000000001E-2</v>
      </c>
      <c r="F65" s="148">
        <f t="shared" si="8"/>
        <v>351.86645999999996</v>
      </c>
      <c r="G65" s="148">
        <v>21325.239999999998</v>
      </c>
      <c r="H65" s="185">
        <v>7.5999999999999998E-2</v>
      </c>
      <c r="I65" s="148">
        <f t="shared" si="9"/>
        <v>1620.7182399999997</v>
      </c>
    </row>
    <row r="66" spans="1:10" x14ac:dyDescent="0.25">
      <c r="A66" s="184"/>
      <c r="B66" s="148"/>
      <c r="C66" s="148"/>
      <c r="D66" s="148"/>
      <c r="E66" s="185"/>
      <c r="F66" s="148"/>
      <c r="G66" s="148"/>
      <c r="H66" s="185"/>
      <c r="I66" s="148"/>
    </row>
    <row r="67" spans="1:10" x14ac:dyDescent="0.25">
      <c r="C67"/>
      <c r="E67" s="182"/>
      <c r="F67"/>
      <c r="H67" s="182"/>
    </row>
    <row r="68" spans="1:10" x14ac:dyDescent="0.25">
      <c r="A68" s="176" t="s">
        <v>19</v>
      </c>
      <c r="B68" s="153">
        <f>SUBTOTAL(9,B59:B66)</f>
        <v>66640.399999999994</v>
      </c>
      <c r="C68" s="153">
        <f>SUBTOTAL(9,C59:C66)</f>
        <v>26411.370000000003</v>
      </c>
      <c r="D68" s="153">
        <f>SUBTOTAL(9,D59:D66)</f>
        <v>66640.399999999994</v>
      </c>
      <c r="E68" s="167" t="s">
        <v>49</v>
      </c>
      <c r="F68" s="153">
        <f>SUBTOTAL(9,F59:F66)</f>
        <v>1099.5666000000001</v>
      </c>
      <c r="G68" s="153">
        <f>SUBTOTAL(9,G59:G66)</f>
        <v>66640.399999999994</v>
      </c>
      <c r="H68" s="167" t="s">
        <v>49</v>
      </c>
      <c r="I68" s="153">
        <f>SUBTOTAL(9,I59:I66)</f>
        <v>5064.6704</v>
      </c>
    </row>
    <row r="70" spans="1:10" x14ac:dyDescent="0.25">
      <c r="A70" s="186"/>
      <c r="B70" s="187">
        <f>B68+B53+B38+B25+B13</f>
        <v>487193.8899999999</v>
      </c>
      <c r="C70" s="187">
        <f t="shared" ref="C70:I70" si="10">C68+C53+C38+C25+C13</f>
        <v>380739.26000000007</v>
      </c>
      <c r="D70" s="187">
        <f t="shared" si="10"/>
        <v>487193.8899999999</v>
      </c>
      <c r="F70" s="187">
        <f t="shared" si="10"/>
        <v>8038.6991849999995</v>
      </c>
      <c r="G70" s="187">
        <f t="shared" si="10"/>
        <v>479617.67999999993</v>
      </c>
      <c r="I70" s="187">
        <f t="shared" si="10"/>
        <v>36450.943679999989</v>
      </c>
    </row>
    <row r="73" spans="1:10" x14ac:dyDescent="0.25">
      <c r="A73" s="167" t="s">
        <v>77</v>
      </c>
      <c r="B73" s="167" t="s">
        <v>78</v>
      </c>
      <c r="C73" s="167" t="s">
        <v>79</v>
      </c>
      <c r="D73" s="167" t="s">
        <v>64</v>
      </c>
      <c r="E73" s="167" t="s">
        <v>80</v>
      </c>
      <c r="F73" s="167" t="s">
        <v>66</v>
      </c>
      <c r="G73" s="167" t="s">
        <v>67</v>
      </c>
      <c r="H73" s="167" t="s">
        <v>80</v>
      </c>
      <c r="I73" s="167" t="s">
        <v>68</v>
      </c>
    </row>
    <row r="74" spans="1:10" x14ac:dyDescent="0.25">
      <c r="A74" s="184">
        <v>1102</v>
      </c>
      <c r="B74" s="148">
        <f>SUMIF($A$4:$A$66,A74,$B$4:$B$66)</f>
        <v>10366.799999999999</v>
      </c>
      <c r="C74" s="148">
        <f>SUMIF($A$4:$A$66,A74,$C$4:$C$66)</f>
        <v>0</v>
      </c>
      <c r="D74" s="148">
        <f>SUMIF($A$4:$A$66,A74,$D$4:$D$66)</f>
        <v>10366.799999999999</v>
      </c>
      <c r="E74" s="185">
        <v>1.6500000000000001E-2</v>
      </c>
      <c r="F74" s="148">
        <f>SUMIF($A$4:$A$66,A74,$F$4:$F$66)</f>
        <v>171.05219999999997</v>
      </c>
      <c r="G74" s="148">
        <f>SUMIF($A$4:$A$66,A74,$G$4:$G$66)</f>
        <v>10366.799999999999</v>
      </c>
      <c r="H74" s="185">
        <v>7.5999999999999998E-2</v>
      </c>
      <c r="I74" s="148">
        <f>SUMIF($A$4:$A$66,A74,$I$4:$I$66)</f>
        <v>787.87679999999989</v>
      </c>
      <c r="J74" t="s">
        <v>81</v>
      </c>
    </row>
    <row r="75" spans="1:10" x14ac:dyDescent="0.25">
      <c r="A75" s="184">
        <v>1202</v>
      </c>
      <c r="B75" s="148">
        <f t="shared" ref="B75:B81" si="11">SUMIF($A$4:$A$66,A75,$B$4:$B$66)</f>
        <v>1125.49</v>
      </c>
      <c r="C75" s="148">
        <f t="shared" ref="C75:C81" si="12">SUMIF($A$4:$A$66,A75,$C$4:$C$66)</f>
        <v>0</v>
      </c>
      <c r="D75" s="148">
        <f t="shared" ref="D75:D81" si="13">SUMIF($A$4:$A$66,A75,$D$4:$D$66)</f>
        <v>1125.49</v>
      </c>
      <c r="E75" s="185">
        <v>1.6500000000000001E-2</v>
      </c>
      <c r="F75" s="148">
        <f t="shared" ref="F75:F81" si="14">SUMIF($A$4:$A$66,A75,$F$4:$F$66)</f>
        <v>18.570585000000001</v>
      </c>
      <c r="G75" s="148">
        <f t="shared" ref="G75:G81" si="15">SUMIF($A$4:$A$66,A75,$G$4:$G$66)</f>
        <v>1125.49</v>
      </c>
      <c r="H75" s="185">
        <v>7.5999999999999998E-2</v>
      </c>
      <c r="I75" s="148">
        <f t="shared" ref="I75:I81" si="16">SUMIF($A$4:$A$66,A75,$I$4:$I$66)</f>
        <v>85.537239999999997</v>
      </c>
      <c r="J75" s="188" t="s">
        <v>82</v>
      </c>
    </row>
    <row r="76" spans="1:10" x14ac:dyDescent="0.25">
      <c r="A76" s="184">
        <v>1403</v>
      </c>
      <c r="B76" s="148">
        <f t="shared" si="11"/>
        <v>104827.89</v>
      </c>
      <c r="C76" s="148">
        <f t="shared" si="12"/>
        <v>7395.84</v>
      </c>
      <c r="D76" s="148">
        <f t="shared" si="13"/>
        <v>104827.89</v>
      </c>
      <c r="E76" s="185">
        <v>1.6500000000000001E-2</v>
      </c>
      <c r="F76" s="148">
        <f t="shared" si="14"/>
        <v>1729.6601850000002</v>
      </c>
      <c r="G76" s="148">
        <f t="shared" si="15"/>
        <v>104827.89</v>
      </c>
      <c r="H76" s="185">
        <v>7.5999999999999998E-2</v>
      </c>
      <c r="I76" s="148">
        <f t="shared" si="16"/>
        <v>7966.9196400000001</v>
      </c>
      <c r="J76" t="s">
        <v>83</v>
      </c>
    </row>
    <row r="77" spans="1:10" x14ac:dyDescent="0.25">
      <c r="A77" s="184">
        <v>1411</v>
      </c>
      <c r="B77" s="148">
        <f t="shared" si="11"/>
        <v>16000.25</v>
      </c>
      <c r="C77" s="148">
        <f t="shared" si="12"/>
        <v>44035.1</v>
      </c>
      <c r="D77" s="148">
        <f t="shared" si="13"/>
        <v>16000.25</v>
      </c>
      <c r="E77" s="185">
        <v>1.6500000000000001E-2</v>
      </c>
      <c r="F77" s="148">
        <f t="shared" si="14"/>
        <v>264.00412499999999</v>
      </c>
      <c r="G77" s="148">
        <f t="shared" si="15"/>
        <v>16000.25</v>
      </c>
      <c r="H77" s="185">
        <v>7.5999999999999998E-2</v>
      </c>
      <c r="I77" s="148">
        <f t="shared" si="16"/>
        <v>1216.0189999999998</v>
      </c>
      <c r="J77" s="188" t="s">
        <v>84</v>
      </c>
    </row>
    <row r="78" spans="1:10" x14ac:dyDescent="0.25">
      <c r="A78" s="184">
        <v>1652</v>
      </c>
      <c r="B78" s="148">
        <f t="shared" si="11"/>
        <v>82215.88</v>
      </c>
      <c r="C78" s="148">
        <f t="shared" si="12"/>
        <v>0</v>
      </c>
      <c r="D78" s="148">
        <f t="shared" si="13"/>
        <v>82215.88</v>
      </c>
      <c r="E78" s="185">
        <v>1.6500000000000001E-2</v>
      </c>
      <c r="F78" s="148">
        <f t="shared" si="14"/>
        <v>1356.5620200000001</v>
      </c>
      <c r="G78" s="148">
        <f t="shared" si="15"/>
        <v>82215.88</v>
      </c>
      <c r="H78" s="185">
        <v>7.5999999999999998E-2</v>
      </c>
      <c r="I78" s="148">
        <f t="shared" si="16"/>
        <v>6248.4068800000005</v>
      </c>
      <c r="J78" t="s">
        <v>85</v>
      </c>
    </row>
    <row r="79" spans="1:10" x14ac:dyDescent="0.25">
      <c r="A79" s="184">
        <v>1661</v>
      </c>
      <c r="B79" s="148">
        <f t="shared" si="11"/>
        <v>527.99</v>
      </c>
      <c r="C79" s="148">
        <f t="shared" si="12"/>
        <v>0</v>
      </c>
      <c r="D79" s="148">
        <f t="shared" si="13"/>
        <v>527.99</v>
      </c>
      <c r="E79" s="185">
        <v>1.6500000000000001E-2</v>
      </c>
      <c r="F79" s="148">
        <f t="shared" si="14"/>
        <v>8.7118350000000007</v>
      </c>
      <c r="G79" s="148">
        <f t="shared" si="15"/>
        <v>527.99</v>
      </c>
      <c r="H79" s="185">
        <v>7.5999999999999998E-2</v>
      </c>
      <c r="I79" s="148">
        <f t="shared" si="16"/>
        <v>40.12724</v>
      </c>
      <c r="J79" s="188" t="s">
        <v>86</v>
      </c>
    </row>
    <row r="80" spans="1:10" x14ac:dyDescent="0.25">
      <c r="A80" s="184">
        <v>2102</v>
      </c>
      <c r="B80" s="148">
        <f t="shared" si="11"/>
        <v>22741.02</v>
      </c>
      <c r="C80" s="148">
        <f t="shared" si="12"/>
        <v>0</v>
      </c>
      <c r="D80" s="148">
        <f t="shared" si="13"/>
        <v>22741.02</v>
      </c>
      <c r="E80" s="185">
        <v>1.6500000000000001E-2</v>
      </c>
      <c r="F80" s="148">
        <f t="shared" si="14"/>
        <v>375.22683000000001</v>
      </c>
      <c r="G80" s="148">
        <f t="shared" si="15"/>
        <v>15164.81</v>
      </c>
      <c r="H80" s="185">
        <v>7.5999999999999998E-2</v>
      </c>
      <c r="I80" s="148">
        <f t="shared" si="16"/>
        <v>1152.5255599999998</v>
      </c>
      <c r="J80" t="s">
        <v>81</v>
      </c>
    </row>
    <row r="81" spans="1:10" x14ac:dyDescent="0.25">
      <c r="A81" s="184">
        <v>2403</v>
      </c>
      <c r="B81" s="148">
        <f t="shared" si="11"/>
        <v>249388.56999999992</v>
      </c>
      <c r="C81" s="148">
        <f t="shared" si="12"/>
        <v>329308.32000000007</v>
      </c>
      <c r="D81" s="148">
        <f t="shared" si="13"/>
        <v>249388.56999999992</v>
      </c>
      <c r="E81" s="185">
        <v>1.6500000000000001E-2</v>
      </c>
      <c r="F81" s="148">
        <f t="shared" si="14"/>
        <v>4114.9114049999998</v>
      </c>
      <c r="G81" s="148">
        <f t="shared" si="15"/>
        <v>249388.56999999992</v>
      </c>
      <c r="H81" s="185">
        <v>7.5999999999999998E-2</v>
      </c>
      <c r="I81" s="148">
        <f t="shared" si="16"/>
        <v>18953.531319999991</v>
      </c>
      <c r="J81" t="s">
        <v>83</v>
      </c>
    </row>
    <row r="82" spans="1:10" x14ac:dyDescent="0.25">
      <c r="A82" s="189" t="s">
        <v>19</v>
      </c>
      <c r="B82" s="190">
        <f>SUM(B74:B81)</f>
        <v>487193.8899999999</v>
      </c>
      <c r="C82" s="190">
        <f>SUM(C74:C81)</f>
        <v>380739.26000000007</v>
      </c>
      <c r="D82" s="190">
        <f>SUM(D74:D81)</f>
        <v>487193.8899999999</v>
      </c>
      <c r="E82" s="191" t="s">
        <v>49</v>
      </c>
      <c r="F82" s="190">
        <f>SUM(F74:F81)</f>
        <v>8038.6991849999995</v>
      </c>
      <c r="G82" s="190">
        <f>SUM(G74:G81)</f>
        <v>479617.67999999993</v>
      </c>
      <c r="H82" s="191" t="s">
        <v>49</v>
      </c>
      <c r="I82" s="190">
        <f>SUM(I74:I81)</f>
        <v>36450.943679999989</v>
      </c>
    </row>
    <row r="84" spans="1:10" x14ac:dyDescent="0.25">
      <c r="A84" s="192" t="s">
        <v>87</v>
      </c>
      <c r="B84" s="190">
        <f>B82-B70</f>
        <v>0</v>
      </c>
      <c r="C84" s="190">
        <f t="shared" ref="C84:I84" si="17">C82-C70</f>
        <v>0</v>
      </c>
      <c r="D84" s="190">
        <f t="shared" si="17"/>
        <v>0</v>
      </c>
      <c r="E84" s="191" t="s">
        <v>49</v>
      </c>
      <c r="F84" s="190">
        <f t="shared" si="17"/>
        <v>0</v>
      </c>
      <c r="G84" s="190">
        <f t="shared" si="17"/>
        <v>0</v>
      </c>
      <c r="H84" s="191" t="s">
        <v>49</v>
      </c>
      <c r="I84" s="190">
        <f t="shared" si="17"/>
        <v>0</v>
      </c>
    </row>
    <row r="87" spans="1:10" x14ac:dyDescent="0.25">
      <c r="A87" s="167" t="s">
        <v>77</v>
      </c>
      <c r="B87" s="167" t="s">
        <v>78</v>
      </c>
      <c r="C87" s="167" t="s">
        <v>79</v>
      </c>
      <c r="D87" s="167" t="s">
        <v>64</v>
      </c>
      <c r="E87" s="167" t="s">
        <v>80</v>
      </c>
      <c r="F87" s="167" t="s">
        <v>66</v>
      </c>
      <c r="G87" s="167" t="s">
        <v>67</v>
      </c>
      <c r="H87" s="167" t="s">
        <v>80</v>
      </c>
      <c r="I87" s="167" t="s">
        <v>68</v>
      </c>
    </row>
    <row r="88" spans="1:10" x14ac:dyDescent="0.25">
      <c r="A88" s="193">
        <v>1102</v>
      </c>
      <c r="B88" s="148">
        <v>10366.799999999999</v>
      </c>
      <c r="C88" s="148">
        <v>0</v>
      </c>
      <c r="D88" s="148">
        <v>10366.799999999999</v>
      </c>
      <c r="E88" s="185">
        <v>1.6500000000000001E-2</v>
      </c>
      <c r="F88" s="148">
        <v>171.05219999999997</v>
      </c>
      <c r="G88" s="148">
        <v>10366.799999999999</v>
      </c>
      <c r="H88" s="185">
        <v>7.5999999999999998E-2</v>
      </c>
      <c r="I88" s="148">
        <v>787.87679999999989</v>
      </c>
      <c r="J88" t="s">
        <v>81</v>
      </c>
    </row>
    <row r="89" spans="1:10" x14ac:dyDescent="0.25">
      <c r="A89" s="193">
        <v>1403</v>
      </c>
      <c r="B89" s="148">
        <v>104827.89</v>
      </c>
      <c r="C89" s="148">
        <v>7395.84</v>
      </c>
      <c r="D89" s="148">
        <v>104827.89</v>
      </c>
      <c r="E89" s="185">
        <v>1.6500000000000001E-2</v>
      </c>
      <c r="F89" s="148">
        <v>1729.6601850000002</v>
      </c>
      <c r="G89" s="148">
        <v>104827.89</v>
      </c>
      <c r="H89" s="185">
        <v>7.5999999999999998E-2</v>
      </c>
      <c r="I89" s="148">
        <v>7966.9196400000001</v>
      </c>
      <c r="J89" t="s">
        <v>83</v>
      </c>
    </row>
    <row r="90" spans="1:10" x14ac:dyDescent="0.25">
      <c r="A90" s="193">
        <v>1652</v>
      </c>
      <c r="B90" s="148">
        <v>82215.88</v>
      </c>
      <c r="C90" s="148">
        <v>0</v>
      </c>
      <c r="D90" s="148">
        <v>82215.88</v>
      </c>
      <c r="E90" s="185">
        <v>1.6500000000000001E-2</v>
      </c>
      <c r="F90" s="148">
        <v>1356.5620200000001</v>
      </c>
      <c r="G90" s="148">
        <v>82215.88</v>
      </c>
      <c r="H90" s="185">
        <v>7.5999999999999998E-2</v>
      </c>
      <c r="I90" s="148">
        <v>6248.4068800000005</v>
      </c>
      <c r="J90" t="s">
        <v>85</v>
      </c>
    </row>
    <row r="91" spans="1:10" x14ac:dyDescent="0.25">
      <c r="A91" s="193">
        <v>2102</v>
      </c>
      <c r="B91" s="148">
        <v>22741.02</v>
      </c>
      <c r="C91" s="148">
        <v>0</v>
      </c>
      <c r="D91" s="148">
        <v>22741.02</v>
      </c>
      <c r="E91" s="185">
        <v>1.6500000000000001E-2</v>
      </c>
      <c r="F91" s="148">
        <v>375.22683000000001</v>
      </c>
      <c r="G91" s="148">
        <v>15164.81</v>
      </c>
      <c r="H91" s="185">
        <v>7.5999999999999998E-2</v>
      </c>
      <c r="I91" s="148">
        <v>1152.5255599999998</v>
      </c>
      <c r="J91" t="s">
        <v>81</v>
      </c>
    </row>
    <row r="92" spans="1:10" x14ac:dyDescent="0.25">
      <c r="A92" s="193">
        <v>2403</v>
      </c>
      <c r="B92" s="148">
        <v>249388.56999999992</v>
      </c>
      <c r="C92" s="148">
        <v>329308.32000000007</v>
      </c>
      <c r="D92" s="148">
        <v>249388.56999999992</v>
      </c>
      <c r="E92" s="185">
        <v>1.6500000000000001E-2</v>
      </c>
      <c r="F92" s="148">
        <v>4114.9114049999998</v>
      </c>
      <c r="G92" s="148">
        <v>249388.56999999992</v>
      </c>
      <c r="H92" s="185">
        <v>7.5999999999999998E-2</v>
      </c>
      <c r="I92" s="148">
        <v>18953.531319999991</v>
      </c>
      <c r="J92" t="s">
        <v>83</v>
      </c>
    </row>
    <row r="93" spans="1:10" x14ac:dyDescent="0.25">
      <c r="A93" s="153" t="s">
        <v>19</v>
      </c>
      <c r="B93" s="194">
        <f>SUM(B88:B92)</f>
        <v>469540.15999999992</v>
      </c>
      <c r="C93" s="194">
        <f>SUM(C88:C92)</f>
        <v>336704.16000000009</v>
      </c>
      <c r="D93" s="194">
        <f>SUM(D88:D92)</f>
        <v>469540.15999999992</v>
      </c>
      <c r="E93" s="174" t="s">
        <v>49</v>
      </c>
      <c r="F93" s="194">
        <f>SUM(F88:F92)</f>
        <v>7747.4126400000005</v>
      </c>
      <c r="G93" s="194">
        <f>SUM(G88:G92)</f>
        <v>461963.94999999995</v>
      </c>
      <c r="H93" s="174" t="s">
        <v>49</v>
      </c>
      <c r="I93" s="194">
        <f>SUM(I88:I92)</f>
        <v>35109.26019999999</v>
      </c>
    </row>
    <row r="96" spans="1:10" x14ac:dyDescent="0.25">
      <c r="A96" s="167" t="s">
        <v>77</v>
      </c>
      <c r="B96" s="167" t="s">
        <v>78</v>
      </c>
      <c r="C96" s="167" t="s">
        <v>79</v>
      </c>
      <c r="D96" s="167" t="s">
        <v>64</v>
      </c>
      <c r="E96" s="167" t="s">
        <v>80</v>
      </c>
      <c r="F96" s="167" t="s">
        <v>66</v>
      </c>
      <c r="G96" s="167" t="s">
        <v>67</v>
      </c>
      <c r="H96" s="167" t="s">
        <v>80</v>
      </c>
      <c r="I96" s="167" t="s">
        <v>68</v>
      </c>
    </row>
    <row r="97" spans="1:15" x14ac:dyDescent="0.25">
      <c r="A97" s="184">
        <v>1202</v>
      </c>
      <c r="B97" s="148">
        <v>1125.49</v>
      </c>
      <c r="C97" s="148">
        <v>0</v>
      </c>
      <c r="D97" s="148">
        <v>1125.49</v>
      </c>
      <c r="E97" s="185">
        <v>1.6500000000000001E-2</v>
      </c>
      <c r="F97" s="148">
        <v>18.570585000000001</v>
      </c>
      <c r="G97" s="148">
        <v>1125.49</v>
      </c>
      <c r="H97" s="185">
        <v>7.5999999999999998E-2</v>
      </c>
      <c r="I97" s="148">
        <v>85.537239999999997</v>
      </c>
      <c r="J97" s="188" t="s">
        <v>82</v>
      </c>
    </row>
    <row r="98" spans="1:15" x14ac:dyDescent="0.25">
      <c r="A98" s="184">
        <v>1411</v>
      </c>
      <c r="B98" s="148">
        <v>16000.25</v>
      </c>
      <c r="C98" s="148">
        <v>44035.1</v>
      </c>
      <c r="D98" s="148">
        <v>16000.25</v>
      </c>
      <c r="E98" s="185">
        <v>1.6500000000000001E-2</v>
      </c>
      <c r="F98" s="148">
        <v>264.00412499999999</v>
      </c>
      <c r="G98" s="148">
        <v>16000.25</v>
      </c>
      <c r="H98" s="185">
        <v>7.5999999999999998E-2</v>
      </c>
      <c r="I98" s="148">
        <v>1216.0189999999998</v>
      </c>
      <c r="J98" s="188" t="s">
        <v>84</v>
      </c>
    </row>
    <row r="99" spans="1:15" x14ac:dyDescent="0.25">
      <c r="A99" s="184">
        <v>1661</v>
      </c>
      <c r="B99" s="148">
        <v>527.99</v>
      </c>
      <c r="C99" s="148">
        <v>0</v>
      </c>
      <c r="D99" s="148">
        <v>527.99</v>
      </c>
      <c r="E99" s="185">
        <v>1.6500000000000001E-2</v>
      </c>
      <c r="F99" s="148">
        <v>8.7118350000000007</v>
      </c>
      <c r="G99" s="148">
        <v>527.99</v>
      </c>
      <c r="H99" s="185">
        <v>7.5999999999999998E-2</v>
      </c>
      <c r="I99" s="148">
        <v>40.12724</v>
      </c>
      <c r="J99" s="188" t="s">
        <v>86</v>
      </c>
    </row>
    <row r="100" spans="1:15" x14ac:dyDescent="0.25">
      <c r="A100" s="153" t="s">
        <v>19</v>
      </c>
      <c r="B100" s="194">
        <f>SUM(B97:B99)</f>
        <v>17653.730000000003</v>
      </c>
      <c r="C100" s="194">
        <f>SUM(C97:C99)</f>
        <v>44035.1</v>
      </c>
      <c r="D100" s="194">
        <f>SUM(D97:D99)</f>
        <v>17653.730000000003</v>
      </c>
      <c r="E100" s="174" t="s">
        <v>49</v>
      </c>
      <c r="F100" s="194">
        <f>SUM(F97:F99)</f>
        <v>291.28654499999999</v>
      </c>
      <c r="G100" s="194">
        <f>SUM(G97:G99)</f>
        <v>17653.730000000003</v>
      </c>
      <c r="H100" s="174" t="s">
        <v>49</v>
      </c>
      <c r="I100" s="194">
        <f>SUM(I97:I99)</f>
        <v>1341.6834799999999</v>
      </c>
    </row>
    <row r="103" spans="1:15" x14ac:dyDescent="0.25">
      <c r="A103" s="192" t="s">
        <v>87</v>
      </c>
      <c r="B103" s="195">
        <f>(B93+B100)-B82</f>
        <v>0</v>
      </c>
      <c r="C103" s="195">
        <f>(C93+C100)-C82</f>
        <v>0</v>
      </c>
      <c r="D103" s="195">
        <f>(D93+D100)-D82</f>
        <v>0</v>
      </c>
      <c r="E103" s="191"/>
      <c r="F103" s="195">
        <f>(F93+F100)-F82</f>
        <v>0</v>
      </c>
      <c r="G103" s="195">
        <f>(G93+G100)-G82</f>
        <v>0</v>
      </c>
      <c r="H103" s="191"/>
      <c r="I103" s="195">
        <f>(I93+I100)-I82</f>
        <v>0</v>
      </c>
    </row>
    <row r="105" spans="1:15" x14ac:dyDescent="0.25">
      <c r="D105" s="186" t="s">
        <v>96</v>
      </c>
      <c r="F105" s="150">
        <f>F109-F106</f>
        <v>0</v>
      </c>
      <c r="G105" s="150">
        <f>G109-G106</f>
        <v>0</v>
      </c>
      <c r="H105" s="150">
        <f>H109-H106</f>
        <v>1620</v>
      </c>
      <c r="I105" s="150">
        <f>I109-I106</f>
        <v>125.49</v>
      </c>
      <c r="J105" s="150">
        <f>J109-J106</f>
        <v>6019.1</v>
      </c>
      <c r="K105" s="154">
        <f>SUM(F105:J105)</f>
        <v>7764.59</v>
      </c>
      <c r="M105" s="154">
        <f>K105*1.65%</f>
        <v>128.115735</v>
      </c>
      <c r="O105" s="154">
        <f>K105*7.6%</f>
        <v>590.10883999999999</v>
      </c>
    </row>
    <row r="106" spans="1:15" x14ac:dyDescent="0.25">
      <c r="D106" s="186" t="s">
        <v>97</v>
      </c>
      <c r="F106" s="150">
        <f>66900+72900</f>
        <v>139800</v>
      </c>
      <c r="G106" s="150">
        <v>73000</v>
      </c>
      <c r="H106" s="150">
        <v>243900</v>
      </c>
      <c r="I106" s="150">
        <v>0</v>
      </c>
      <c r="J106" s="150">
        <v>0</v>
      </c>
      <c r="K106" s="154">
        <f>SUM(F106:J106)</f>
        <v>456700</v>
      </c>
    </row>
    <row r="107" spans="1:15" x14ac:dyDescent="0.25">
      <c r="A107" s="182" t="s">
        <v>76</v>
      </c>
      <c r="B107" s="182">
        <v>1</v>
      </c>
      <c r="D107" s="327" t="s">
        <v>93</v>
      </c>
      <c r="E107" s="327"/>
      <c r="F107" s="327"/>
      <c r="G107" s="327"/>
      <c r="H107" s="327"/>
      <c r="I107" s="327"/>
      <c r="J107" s="327"/>
      <c r="K107" s="327"/>
    </row>
    <row r="108" spans="1:15" x14ac:dyDescent="0.25">
      <c r="A108">
        <v>1202</v>
      </c>
      <c r="B108" s="150">
        <v>139800</v>
      </c>
      <c r="D108" s="205" t="s">
        <v>94</v>
      </c>
      <c r="E108" s="205" t="s">
        <v>77</v>
      </c>
      <c r="F108" s="206">
        <v>1</v>
      </c>
      <c r="G108" s="206">
        <v>2</v>
      </c>
      <c r="H108" s="206">
        <v>3</v>
      </c>
      <c r="I108" s="206">
        <v>4</v>
      </c>
      <c r="J108" s="206">
        <v>5</v>
      </c>
      <c r="K108" s="205" t="s">
        <v>19</v>
      </c>
    </row>
    <row r="109" spans="1:15" x14ac:dyDescent="0.25">
      <c r="A109">
        <v>1411</v>
      </c>
      <c r="B109" s="150">
        <v>1363700.79</v>
      </c>
      <c r="D109" s="207">
        <v>44562</v>
      </c>
      <c r="E109" s="208">
        <v>1202</v>
      </c>
      <c r="F109" s="148">
        <f>B108</f>
        <v>139800</v>
      </c>
      <c r="G109" s="148">
        <f>B113</f>
        <v>73000</v>
      </c>
      <c r="H109" s="148">
        <f>B118</f>
        <v>245520</v>
      </c>
      <c r="I109" s="148">
        <f>B123</f>
        <v>125.49</v>
      </c>
      <c r="J109" s="148">
        <f>B128</f>
        <v>6019.1</v>
      </c>
      <c r="K109" s="148">
        <f t="shared" ref="K109:K115" si="18">SUM(F109:J109)</f>
        <v>464464.58999999997</v>
      </c>
    </row>
    <row r="110" spans="1:15" x14ac:dyDescent="0.25">
      <c r="D110" s="207">
        <v>44562</v>
      </c>
      <c r="E110" s="208">
        <v>1411</v>
      </c>
      <c r="F110" s="148">
        <f>B109</f>
        <v>1363700.79</v>
      </c>
      <c r="G110" s="148">
        <f>B114</f>
        <v>398463.61</v>
      </c>
      <c r="H110" s="148">
        <f>B119</f>
        <v>8121.71</v>
      </c>
      <c r="I110" s="148">
        <f>B124</f>
        <v>1246173.07</v>
      </c>
      <c r="J110" s="148">
        <f>B129</f>
        <v>924990.48</v>
      </c>
      <c r="K110" s="148">
        <f t="shared" si="18"/>
        <v>3941449.6599999997</v>
      </c>
    </row>
    <row r="111" spans="1:15" x14ac:dyDescent="0.25">
      <c r="D111" s="207">
        <v>44562</v>
      </c>
      <c r="E111" s="208">
        <v>2202</v>
      </c>
      <c r="F111" s="148">
        <v>0</v>
      </c>
      <c r="G111" s="148">
        <v>0</v>
      </c>
      <c r="H111" s="148">
        <v>0</v>
      </c>
      <c r="I111" s="148">
        <v>0</v>
      </c>
      <c r="J111" s="148">
        <v>0</v>
      </c>
      <c r="K111" s="148">
        <f t="shared" si="18"/>
        <v>0</v>
      </c>
    </row>
    <row r="112" spans="1:15" x14ac:dyDescent="0.25">
      <c r="A112" s="182" t="s">
        <v>76</v>
      </c>
      <c r="B112" s="182">
        <v>2</v>
      </c>
      <c r="D112" s="207">
        <v>44562</v>
      </c>
      <c r="E112" s="208">
        <v>1661</v>
      </c>
      <c r="F112" s="148">
        <v>0</v>
      </c>
      <c r="G112" s="148">
        <v>0</v>
      </c>
      <c r="H112" s="148">
        <v>0</v>
      </c>
      <c r="I112" s="148">
        <v>527.99</v>
      </c>
      <c r="J112" s="148">
        <v>0</v>
      </c>
      <c r="K112" s="148">
        <f t="shared" si="18"/>
        <v>527.99</v>
      </c>
    </row>
    <row r="113" spans="1:11" x14ac:dyDescent="0.25">
      <c r="A113">
        <v>1202</v>
      </c>
      <c r="B113" s="150">
        <v>73000</v>
      </c>
      <c r="D113" s="207">
        <v>44562</v>
      </c>
      <c r="E113" s="208">
        <v>1662</v>
      </c>
      <c r="F113" s="148">
        <v>0</v>
      </c>
      <c r="G113" s="148">
        <v>0</v>
      </c>
      <c r="H113" s="148">
        <v>0</v>
      </c>
      <c r="I113" s="148">
        <v>0</v>
      </c>
      <c r="J113" s="148">
        <v>0</v>
      </c>
      <c r="K113" s="148">
        <f t="shared" si="18"/>
        <v>0</v>
      </c>
    </row>
    <row r="114" spans="1:11" x14ac:dyDescent="0.25">
      <c r="A114">
        <v>1411</v>
      </c>
      <c r="B114" s="150">
        <v>398463.61</v>
      </c>
      <c r="D114" s="207">
        <v>44562</v>
      </c>
      <c r="E114" s="208">
        <v>2662</v>
      </c>
      <c r="F114" s="148">
        <v>0</v>
      </c>
      <c r="G114" s="148">
        <v>0</v>
      </c>
      <c r="H114" s="148">
        <v>0</v>
      </c>
      <c r="I114" s="148">
        <v>0</v>
      </c>
      <c r="J114" s="148">
        <v>0</v>
      </c>
      <c r="K114" s="148">
        <f t="shared" si="18"/>
        <v>0</v>
      </c>
    </row>
    <row r="115" spans="1:11" x14ac:dyDescent="0.25">
      <c r="D115" s="207">
        <v>44562</v>
      </c>
      <c r="E115" s="208"/>
      <c r="F115" s="148"/>
      <c r="G115" s="148"/>
      <c r="H115" s="148"/>
      <c r="I115" s="148"/>
      <c r="J115" s="148"/>
      <c r="K115" s="148">
        <f t="shared" si="18"/>
        <v>0</v>
      </c>
    </row>
    <row r="116" spans="1:11" x14ac:dyDescent="0.25">
      <c r="D116" s="209"/>
      <c r="E116" s="209"/>
      <c r="F116"/>
      <c r="H116"/>
    </row>
    <row r="117" spans="1:11" x14ac:dyDescent="0.25">
      <c r="A117" s="182" t="s">
        <v>76</v>
      </c>
      <c r="B117" s="182">
        <v>3</v>
      </c>
      <c r="D117" s="207">
        <v>44562</v>
      </c>
      <c r="E117" s="208" t="s">
        <v>49</v>
      </c>
      <c r="F117" s="210">
        <f t="shared" ref="F117:K117" si="19">SUM(F109:F115)</f>
        <v>1503500.79</v>
      </c>
      <c r="G117" s="210">
        <f t="shared" si="19"/>
        <v>471463.61</v>
      </c>
      <c r="H117" s="210">
        <f t="shared" si="19"/>
        <v>253641.71</v>
      </c>
      <c r="I117" s="210">
        <f t="shared" si="19"/>
        <v>1246826.55</v>
      </c>
      <c r="J117" s="210">
        <f t="shared" si="19"/>
        <v>931009.58</v>
      </c>
      <c r="K117" s="210">
        <f t="shared" si="19"/>
        <v>4406442.24</v>
      </c>
    </row>
    <row r="118" spans="1:11" x14ac:dyDescent="0.25">
      <c r="A118">
        <v>1202</v>
      </c>
      <c r="B118" s="150">
        <v>245520</v>
      </c>
      <c r="E118"/>
      <c r="F118"/>
      <c r="H118"/>
    </row>
    <row r="119" spans="1:11" x14ac:dyDescent="0.25">
      <c r="A119">
        <v>1411</v>
      </c>
      <c r="B119" s="150">
        <v>8121.71</v>
      </c>
      <c r="E119"/>
      <c r="F119"/>
      <c r="H119"/>
    </row>
    <row r="120" spans="1:11" x14ac:dyDescent="0.25">
      <c r="D120" s="327" t="s">
        <v>95</v>
      </c>
      <c r="E120" s="327"/>
      <c r="F120" s="327"/>
      <c r="G120" s="327"/>
      <c r="H120" s="327"/>
      <c r="I120" s="327"/>
      <c r="J120" s="327"/>
      <c r="K120" s="327"/>
    </row>
    <row r="121" spans="1:11" x14ac:dyDescent="0.25">
      <c r="D121" s="205" t="s">
        <v>94</v>
      </c>
      <c r="E121" s="205" t="s">
        <v>77</v>
      </c>
      <c r="F121" s="206">
        <v>1</v>
      </c>
      <c r="G121" s="206">
        <v>2</v>
      </c>
      <c r="H121" s="206">
        <v>3</v>
      </c>
      <c r="I121" s="206">
        <v>4</v>
      </c>
      <c r="J121" s="206">
        <v>5</v>
      </c>
      <c r="K121" s="205" t="s">
        <v>19</v>
      </c>
    </row>
    <row r="122" spans="1:11" x14ac:dyDescent="0.25">
      <c r="A122" s="182" t="s">
        <v>76</v>
      </c>
      <c r="B122" s="182">
        <v>4</v>
      </c>
      <c r="D122" s="207">
        <v>44562</v>
      </c>
      <c r="E122" s="208">
        <v>1252</v>
      </c>
      <c r="F122" s="148"/>
      <c r="G122" s="148">
        <v>0</v>
      </c>
      <c r="H122" s="148">
        <v>0</v>
      </c>
      <c r="I122" s="148">
        <v>0</v>
      </c>
      <c r="J122" s="148"/>
      <c r="K122" s="148">
        <f>SUM(F122:J122)</f>
        <v>0</v>
      </c>
    </row>
    <row r="123" spans="1:11" x14ac:dyDescent="0.25">
      <c r="A123">
        <v>1202</v>
      </c>
      <c r="B123" s="150">
        <v>125.49</v>
      </c>
      <c r="D123" s="207">
        <v>44562</v>
      </c>
      <c r="E123" s="208">
        <v>1253</v>
      </c>
      <c r="F123" s="148">
        <v>14234.14</v>
      </c>
      <c r="G123" s="148">
        <v>20724.02</v>
      </c>
      <c r="H123" s="148">
        <v>13039.44</v>
      </c>
      <c r="I123" s="148">
        <v>22667.47</v>
      </c>
      <c r="J123" s="148">
        <v>23183.99</v>
      </c>
      <c r="K123" s="148">
        <f>SUM(F123:J123)</f>
        <v>93849.060000000012</v>
      </c>
    </row>
    <row r="124" spans="1:11" x14ac:dyDescent="0.25">
      <c r="A124">
        <v>1411</v>
      </c>
      <c r="B124" s="150">
        <v>1246173.07</v>
      </c>
      <c r="D124" s="207">
        <v>44562</v>
      </c>
      <c r="E124" s="208"/>
      <c r="F124" s="148"/>
      <c r="G124" s="148"/>
      <c r="H124" s="148"/>
      <c r="I124" s="148"/>
      <c r="J124" s="148"/>
      <c r="K124" s="148">
        <f>SUM(F124:J124)</f>
        <v>0</v>
      </c>
    </row>
    <row r="125" spans="1:11" x14ac:dyDescent="0.25">
      <c r="D125" s="209"/>
      <c r="E125" s="209"/>
      <c r="F125"/>
      <c r="H125"/>
    </row>
    <row r="126" spans="1:11" x14ac:dyDescent="0.25">
      <c r="D126" s="207">
        <v>44562</v>
      </c>
      <c r="E126" s="208" t="s">
        <v>49</v>
      </c>
      <c r="F126" s="210">
        <f t="shared" ref="F126:K126" si="20">SUM(F122:F124)</f>
        <v>14234.14</v>
      </c>
      <c r="G126" s="210">
        <f t="shared" si="20"/>
        <v>20724.02</v>
      </c>
      <c r="H126" s="210">
        <f t="shared" si="20"/>
        <v>13039.44</v>
      </c>
      <c r="I126" s="210">
        <f t="shared" si="20"/>
        <v>22667.47</v>
      </c>
      <c r="J126" s="210">
        <f t="shared" si="20"/>
        <v>23183.99</v>
      </c>
      <c r="K126" s="210">
        <f t="shared" si="20"/>
        <v>93849.060000000012</v>
      </c>
    </row>
    <row r="127" spans="1:11" x14ac:dyDescent="0.25">
      <c r="A127" s="182" t="s">
        <v>76</v>
      </c>
      <c r="B127" s="182">
        <v>5</v>
      </c>
    </row>
    <row r="128" spans="1:11" x14ac:dyDescent="0.25">
      <c r="A128">
        <v>1202</v>
      </c>
      <c r="B128" s="150">
        <v>6019.1</v>
      </c>
    </row>
    <row r="129" spans="1:11" x14ac:dyDescent="0.25">
      <c r="A129">
        <v>1411</v>
      </c>
      <c r="B129" s="150">
        <v>924990.48</v>
      </c>
      <c r="D129" s="327" t="s">
        <v>113</v>
      </c>
      <c r="E129" s="327"/>
      <c r="F129" s="327"/>
      <c r="G129" s="327"/>
      <c r="H129" s="327"/>
      <c r="I129" s="327"/>
      <c r="J129" s="327"/>
      <c r="K129" s="327"/>
    </row>
    <row r="130" spans="1:11" x14ac:dyDescent="0.25">
      <c r="D130" s="205" t="s">
        <v>94</v>
      </c>
      <c r="E130" s="205" t="s">
        <v>77</v>
      </c>
      <c r="F130" s="206">
        <v>1</v>
      </c>
      <c r="G130" s="206">
        <v>2</v>
      </c>
      <c r="H130" s="206">
        <v>3</v>
      </c>
      <c r="I130" s="206">
        <v>4</v>
      </c>
      <c r="J130" s="206">
        <v>5</v>
      </c>
      <c r="K130" s="205" t="s">
        <v>19</v>
      </c>
    </row>
    <row r="131" spans="1:11" x14ac:dyDescent="0.25">
      <c r="D131" s="207">
        <v>44593</v>
      </c>
      <c r="E131" s="208" t="s">
        <v>115</v>
      </c>
      <c r="F131" s="148">
        <v>19041.71</v>
      </c>
      <c r="G131" s="148">
        <v>15277.66</v>
      </c>
      <c r="H131" s="148">
        <v>6140.42</v>
      </c>
      <c r="I131" s="148">
        <v>16016.63</v>
      </c>
      <c r="J131" s="148">
        <v>11665.060000000001</v>
      </c>
      <c r="K131" s="148">
        <f>SUM(F131:J131)</f>
        <v>68141.48</v>
      </c>
    </row>
    <row r="132" spans="1:11" x14ac:dyDescent="0.25">
      <c r="A132" s="182" t="s">
        <v>76</v>
      </c>
      <c r="B132" s="182" t="s">
        <v>92</v>
      </c>
    </row>
    <row r="133" spans="1:11" x14ac:dyDescent="0.25">
      <c r="A133">
        <v>1202</v>
      </c>
      <c r="B133" s="150">
        <f>B108+B113+B118+B123+B128</f>
        <v>464464.58999999997</v>
      </c>
      <c r="D133" s="327" t="s">
        <v>114</v>
      </c>
      <c r="E133" s="327"/>
      <c r="F133" s="327"/>
      <c r="G133" s="327"/>
      <c r="H133" s="327"/>
      <c r="I133" s="327"/>
      <c r="J133" s="327"/>
      <c r="K133" s="327"/>
    </row>
    <row r="134" spans="1:11" x14ac:dyDescent="0.25">
      <c r="A134">
        <v>1411</v>
      </c>
      <c r="B134" s="150">
        <f>B109+B114+B119+B124+B129</f>
        <v>3941449.6599999997</v>
      </c>
      <c r="D134" s="205" t="s">
        <v>94</v>
      </c>
      <c r="E134" s="205" t="s">
        <v>77</v>
      </c>
      <c r="F134" s="206">
        <v>1</v>
      </c>
      <c r="G134" s="206">
        <v>2</v>
      </c>
      <c r="H134" s="206">
        <v>3</v>
      </c>
      <c r="I134" s="206">
        <v>4</v>
      </c>
      <c r="J134" s="206">
        <v>5</v>
      </c>
      <c r="K134" s="205" t="s">
        <v>19</v>
      </c>
    </row>
    <row r="135" spans="1:11" x14ac:dyDescent="0.25">
      <c r="B135" s="154">
        <f>SUM(B133:B134)</f>
        <v>4405914.25</v>
      </c>
      <c r="D135" s="207">
        <v>44593</v>
      </c>
      <c r="E135" s="208" t="s">
        <v>115</v>
      </c>
      <c r="F135" s="148">
        <v>3181.82</v>
      </c>
      <c r="G135" s="148">
        <v>2245.5100000000002</v>
      </c>
      <c r="H135" s="148">
        <v>2972.4400000000005</v>
      </c>
      <c r="I135" s="148">
        <v>2495.2900000000004</v>
      </c>
      <c r="J135" s="148">
        <v>6758.67</v>
      </c>
      <c r="K135" s="148">
        <f>SUM(F135:J135)</f>
        <v>17653.730000000003</v>
      </c>
    </row>
    <row r="137" spans="1:11" x14ac:dyDescent="0.25">
      <c r="A137" t="s">
        <v>87</v>
      </c>
      <c r="B137" s="154">
        <f>B135-B129-B128-B124-B123-B119-B118-B114-B113-B109-B108</f>
        <v>-4.6566128730773926E-10</v>
      </c>
    </row>
    <row r="142" spans="1:11" x14ac:dyDescent="0.25">
      <c r="B142" s="328" t="s">
        <v>110</v>
      </c>
      <c r="C142" s="328"/>
    </row>
    <row r="143" spans="1:11" x14ac:dyDescent="0.25">
      <c r="A143" s="218"/>
      <c r="B143" s="219" t="s">
        <v>111</v>
      </c>
      <c r="C143" s="220" t="s">
        <v>112</v>
      </c>
    </row>
    <row r="144" spans="1:11" x14ac:dyDescent="0.25">
      <c r="A144" s="218"/>
      <c r="B144" s="184">
        <v>4650</v>
      </c>
      <c r="C144" s="148">
        <v>4725.0600000000004</v>
      </c>
    </row>
    <row r="145" spans="1:3" x14ac:dyDescent="0.25">
      <c r="A145" s="218"/>
      <c r="B145" s="184">
        <v>4889</v>
      </c>
      <c r="C145" s="148">
        <v>4500</v>
      </c>
    </row>
    <row r="146" spans="1:3" x14ac:dyDescent="0.25">
      <c r="A146" s="218"/>
      <c r="B146" s="184">
        <v>9314</v>
      </c>
      <c r="C146" s="148">
        <v>6122.72</v>
      </c>
    </row>
    <row r="147" spans="1:3" x14ac:dyDescent="0.25">
      <c r="A147" s="218"/>
      <c r="B147" s="184">
        <v>4629</v>
      </c>
      <c r="C147" s="148">
        <v>1352.34</v>
      </c>
    </row>
    <row r="148" spans="1:3" x14ac:dyDescent="0.25">
      <c r="A148" s="218"/>
      <c r="B148" s="184">
        <v>9275</v>
      </c>
      <c r="C148" s="148">
        <v>285.8</v>
      </c>
    </row>
    <row r="149" spans="1:3" x14ac:dyDescent="0.25">
      <c r="A149" s="218"/>
      <c r="B149" s="184">
        <v>18770</v>
      </c>
      <c r="C149" s="148">
        <v>7198.48</v>
      </c>
    </row>
    <row r="150" spans="1:3" x14ac:dyDescent="0.25">
      <c r="A150" s="218"/>
      <c r="B150" s="184">
        <v>8860</v>
      </c>
      <c r="C150" s="148">
        <v>4297.32</v>
      </c>
    </row>
    <row r="151" spans="1:3" x14ac:dyDescent="0.25">
      <c r="A151" s="218"/>
      <c r="B151" s="184">
        <v>4648</v>
      </c>
      <c r="C151" s="148">
        <v>1003.14</v>
      </c>
    </row>
    <row r="152" spans="1:3" x14ac:dyDescent="0.25">
      <c r="A152" s="218"/>
      <c r="B152" s="184">
        <v>4775</v>
      </c>
      <c r="C152" s="148">
        <v>1390.65</v>
      </c>
    </row>
    <row r="153" spans="1:3" x14ac:dyDescent="0.25">
      <c r="A153" s="218"/>
      <c r="B153" s="184">
        <v>18825</v>
      </c>
      <c r="C153" s="148">
        <v>2174.19</v>
      </c>
    </row>
    <row r="154" spans="1:3" x14ac:dyDescent="0.25">
      <c r="A154" s="218"/>
      <c r="B154" s="184">
        <v>1889</v>
      </c>
      <c r="C154" s="148">
        <v>686.06</v>
      </c>
    </row>
    <row r="155" spans="1:3" x14ac:dyDescent="0.25">
      <c r="A155" s="218"/>
      <c r="B155" s="184">
        <v>29948</v>
      </c>
      <c r="C155" s="148">
        <v>789.52</v>
      </c>
    </row>
    <row r="156" spans="1:3" x14ac:dyDescent="0.25">
      <c r="A156" s="218"/>
      <c r="B156" s="184">
        <v>4721</v>
      </c>
      <c r="C156" s="148">
        <v>157.16999999999999</v>
      </c>
    </row>
    <row r="157" spans="1:3" x14ac:dyDescent="0.25">
      <c r="A157" s="218"/>
      <c r="B157" s="184">
        <v>30366</v>
      </c>
      <c r="C157" s="148">
        <v>201.3</v>
      </c>
    </row>
    <row r="158" spans="1:3" x14ac:dyDescent="0.25">
      <c r="A158" s="218"/>
      <c r="B158" s="184">
        <v>30208</v>
      </c>
      <c r="C158" s="148">
        <v>201.3</v>
      </c>
    </row>
    <row r="159" spans="1:3" x14ac:dyDescent="0.25">
      <c r="A159" s="218"/>
      <c r="B159" s="184">
        <v>18891</v>
      </c>
      <c r="C159" s="148">
        <v>147.69</v>
      </c>
    </row>
    <row r="160" spans="1:3" x14ac:dyDescent="0.25">
      <c r="A160" s="218"/>
      <c r="B160" s="184">
        <v>4751</v>
      </c>
      <c r="C160" s="148">
        <v>2440</v>
      </c>
    </row>
    <row r="161" spans="1:4" x14ac:dyDescent="0.25">
      <c r="A161" s="218"/>
      <c r="B161" s="184">
        <v>18809</v>
      </c>
      <c r="C161" s="148">
        <v>1445.38</v>
      </c>
    </row>
    <row r="162" spans="1:4" x14ac:dyDescent="0.25">
      <c r="A162" s="218"/>
      <c r="B162" s="184">
        <v>29947</v>
      </c>
      <c r="C162" s="148">
        <v>281.92</v>
      </c>
    </row>
    <row r="163" spans="1:4" x14ac:dyDescent="0.25">
      <c r="A163" s="218"/>
      <c r="B163" s="184">
        <v>4776</v>
      </c>
      <c r="C163" s="148">
        <v>240.78</v>
      </c>
    </row>
    <row r="164" spans="1:4" x14ac:dyDescent="0.25">
      <c r="A164" s="218"/>
      <c r="B164" s="184">
        <v>30467</v>
      </c>
      <c r="C164" s="148">
        <v>984.41</v>
      </c>
    </row>
    <row r="165" spans="1:4" x14ac:dyDescent="0.25">
      <c r="A165" s="218"/>
      <c r="B165" s="184">
        <v>18771</v>
      </c>
      <c r="C165" s="148">
        <v>6707.9</v>
      </c>
    </row>
    <row r="166" spans="1:4" x14ac:dyDescent="0.25">
      <c r="A166" s="218"/>
      <c r="B166" s="184">
        <v>30329</v>
      </c>
      <c r="C166" s="148">
        <v>475.56</v>
      </c>
    </row>
    <row r="167" spans="1:4" x14ac:dyDescent="0.25">
      <c r="A167" s="218"/>
      <c r="B167" s="184">
        <v>4616</v>
      </c>
      <c r="C167" s="148">
        <v>229.99</v>
      </c>
    </row>
    <row r="168" spans="1:4" x14ac:dyDescent="0.25">
      <c r="A168" s="218"/>
      <c r="B168" s="184">
        <v>4628</v>
      </c>
      <c r="C168" s="148">
        <v>1237.46</v>
      </c>
    </row>
    <row r="169" spans="1:4" x14ac:dyDescent="0.25">
      <c r="A169" s="218"/>
      <c r="B169" s="184">
        <v>30232</v>
      </c>
      <c r="C169" s="148">
        <v>15950.53</v>
      </c>
    </row>
    <row r="170" spans="1:4" x14ac:dyDescent="0.25">
      <c r="A170" s="218"/>
      <c r="B170" s="184">
        <v>9178</v>
      </c>
      <c r="C170" s="148">
        <v>4571.8100000000004</v>
      </c>
    </row>
    <row r="171" spans="1:4" x14ac:dyDescent="0.25">
      <c r="A171" s="218"/>
      <c r="B171" s="184"/>
      <c r="C171" s="148"/>
    </row>
    <row r="172" spans="1:4" x14ac:dyDescent="0.25">
      <c r="A172" s="218"/>
      <c r="B172" s="184" t="s">
        <v>49</v>
      </c>
      <c r="C172" s="221">
        <f>SUM(C144:C171)</f>
        <v>69798.48</v>
      </c>
      <c r="D172" s="222">
        <v>1.6500000000000001E-2</v>
      </c>
    </row>
    <row r="173" spans="1:4" x14ac:dyDescent="0.25">
      <c r="D173" s="222">
        <v>7.5999999999999998E-2</v>
      </c>
    </row>
    <row r="174" spans="1:4" x14ac:dyDescent="0.25">
      <c r="B174" t="s">
        <v>66</v>
      </c>
      <c r="C174" s="150">
        <f>C172*D172</f>
        <v>1151.6749199999999</v>
      </c>
    </row>
    <row r="175" spans="1:4" x14ac:dyDescent="0.25">
      <c r="B175" t="s">
        <v>68</v>
      </c>
      <c r="C175" s="150">
        <f>C172*D173</f>
        <v>5304.6844799999999</v>
      </c>
    </row>
  </sheetData>
  <mergeCells count="5">
    <mergeCell ref="D107:K107"/>
    <mergeCell ref="D120:K120"/>
    <mergeCell ref="B142:C142"/>
    <mergeCell ref="D129:K129"/>
    <mergeCell ref="D133:K1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M55"/>
  <sheetViews>
    <sheetView showGridLines="0" workbookViewId="0">
      <selection activeCell="C13" sqref="C13"/>
    </sheetView>
  </sheetViews>
  <sheetFormatPr defaultRowHeight="15" x14ac:dyDescent="0.25"/>
  <cols>
    <col min="1" max="1" width="10.42578125" bestFit="1" customWidth="1"/>
    <col min="2" max="2" width="26.42578125" bestFit="1" customWidth="1"/>
    <col min="3" max="3" width="17" bestFit="1" customWidth="1"/>
    <col min="4" max="4" width="16" bestFit="1" customWidth="1"/>
    <col min="5" max="5" width="6.28515625" bestFit="1" customWidth="1"/>
    <col min="6" max="6" width="16.7109375" bestFit="1" customWidth="1"/>
    <col min="7" max="7" width="16.5703125" bestFit="1" customWidth="1"/>
    <col min="8" max="8" width="6.28515625" bestFit="1" customWidth="1"/>
    <col min="9" max="9" width="14.42578125" bestFit="1" customWidth="1"/>
    <col min="10" max="11" width="17.28515625" bestFit="1" customWidth="1"/>
    <col min="12" max="12" width="13.140625" bestFit="1" customWidth="1"/>
  </cols>
  <sheetData>
    <row r="4" spans="1:10" x14ac:dyDescent="0.25">
      <c r="A4" s="167" t="s">
        <v>49</v>
      </c>
      <c r="B4" s="167" t="s">
        <v>49</v>
      </c>
      <c r="C4" s="167" t="s">
        <v>45</v>
      </c>
      <c r="D4" s="167" t="s">
        <v>64</v>
      </c>
      <c r="E4" s="167" t="s">
        <v>65</v>
      </c>
      <c r="F4" s="167" t="s">
        <v>66</v>
      </c>
      <c r="G4" s="167" t="s">
        <v>67</v>
      </c>
      <c r="H4" s="167" t="s">
        <v>65</v>
      </c>
      <c r="I4" s="167" t="s">
        <v>68</v>
      </c>
      <c r="J4" s="167" t="s">
        <v>61</v>
      </c>
    </row>
    <row r="5" spans="1:10" x14ac:dyDescent="0.25">
      <c r="A5" s="169" t="s">
        <v>46</v>
      </c>
      <c r="B5" s="169" t="s">
        <v>69</v>
      </c>
      <c r="C5" s="148">
        <v>905259.53000000678</v>
      </c>
      <c r="D5" s="148">
        <v>842181.99000000942</v>
      </c>
      <c r="E5" s="149">
        <v>1.6500000000000001E-2</v>
      </c>
      <c r="F5" s="148">
        <v>13896.002835000156</v>
      </c>
      <c r="G5" s="170">
        <v>842181.99000000942</v>
      </c>
      <c r="H5" s="171">
        <v>7.5999999999999998E-2</v>
      </c>
      <c r="I5" s="172">
        <f>G5*H5</f>
        <v>64005.831240000713</v>
      </c>
      <c r="J5" s="148">
        <v>6211.3999999999896</v>
      </c>
    </row>
    <row r="6" spans="1:10" x14ac:dyDescent="0.25">
      <c r="A6" s="169" t="s">
        <v>47</v>
      </c>
      <c r="B6" s="169" t="s">
        <v>48</v>
      </c>
      <c r="C6" s="148">
        <v>853528.05999999878</v>
      </c>
      <c r="D6" s="148">
        <v>849209.32999999879</v>
      </c>
      <c r="E6" s="149">
        <v>1.6500000000000001E-2</v>
      </c>
      <c r="F6" s="148">
        <v>13896.002835000156</v>
      </c>
      <c r="G6" s="148">
        <v>849209.32999999879</v>
      </c>
      <c r="H6" s="171">
        <v>7.5999999999999998E-2</v>
      </c>
      <c r="I6" s="172">
        <f>G6*H6</f>
        <v>64539.90907999991</v>
      </c>
      <c r="J6" s="148">
        <v>0</v>
      </c>
    </row>
    <row r="7" spans="1:10" x14ac:dyDescent="0.25">
      <c r="A7" s="167" t="s">
        <v>49</v>
      </c>
      <c r="B7" s="167" t="s">
        <v>49</v>
      </c>
      <c r="C7" s="153">
        <f>SUBTOTAL(9,C5:C6)</f>
        <v>1758787.5900000054</v>
      </c>
      <c r="D7" s="153">
        <f>SUBTOTAL(9,D5:D6)</f>
        <v>1691391.3200000082</v>
      </c>
      <c r="E7" s="173">
        <v>1.6500000000000001E-2</v>
      </c>
      <c r="F7" s="153">
        <f>SUBTOTAL(9,F5:F6)</f>
        <v>27792.005670000312</v>
      </c>
      <c r="G7" s="153">
        <f>SUBTOTAL(9,G5:G6)</f>
        <v>1691391.3200000082</v>
      </c>
      <c r="H7" s="173">
        <v>7.5999999999999998E-2</v>
      </c>
      <c r="I7" s="153">
        <f>SUBTOTAL(9,I5:I6)</f>
        <v>128545.74032000062</v>
      </c>
      <c r="J7" s="153">
        <v>6211.3999999999896</v>
      </c>
    </row>
    <row r="8" spans="1:10" x14ac:dyDescent="0.25">
      <c r="A8" s="155"/>
      <c r="B8" s="155"/>
      <c r="C8" s="150"/>
      <c r="D8" s="150"/>
      <c r="F8" s="150"/>
      <c r="G8" s="150"/>
      <c r="I8" s="150"/>
    </row>
    <row r="9" spans="1:10" x14ac:dyDescent="0.25">
      <c r="A9" s="155"/>
      <c r="B9" s="155"/>
      <c r="C9" s="150"/>
      <c r="D9" s="150"/>
      <c r="F9" s="150"/>
      <c r="G9" s="150"/>
      <c r="I9" s="150"/>
    </row>
    <row r="10" spans="1:10" x14ac:dyDescent="0.25">
      <c r="A10" s="167" t="s">
        <v>49</v>
      </c>
      <c r="B10" s="167" t="s">
        <v>49</v>
      </c>
      <c r="C10" s="174" t="s">
        <v>45</v>
      </c>
      <c r="D10" s="174" t="s">
        <v>64</v>
      </c>
      <c r="E10" s="167" t="s">
        <v>65</v>
      </c>
      <c r="F10" s="174" t="s">
        <v>66</v>
      </c>
      <c r="G10" s="174" t="s">
        <v>67</v>
      </c>
      <c r="H10" s="167" t="s">
        <v>65</v>
      </c>
      <c r="I10" s="174" t="s">
        <v>68</v>
      </c>
    </row>
    <row r="11" spans="1:10" x14ac:dyDescent="0.25">
      <c r="A11" s="169" t="s">
        <v>46</v>
      </c>
      <c r="B11" s="169" t="s">
        <v>70</v>
      </c>
      <c r="C11" s="148">
        <v>1621083.1899999899</v>
      </c>
      <c r="D11" s="148">
        <v>1460869.6200000173</v>
      </c>
      <c r="E11" s="151">
        <v>0</v>
      </c>
      <c r="F11" s="148">
        <f>D11*E11</f>
        <v>0</v>
      </c>
      <c r="G11" s="148">
        <v>1460869.6200000173</v>
      </c>
      <c r="H11" s="151">
        <v>0</v>
      </c>
      <c r="I11" s="148">
        <f>G11*H11</f>
        <v>0</v>
      </c>
    </row>
    <row r="12" spans="1:10" x14ac:dyDescent="0.25">
      <c r="A12" s="169" t="s">
        <v>46</v>
      </c>
      <c r="B12" s="169" t="s">
        <v>71</v>
      </c>
      <c r="C12" s="148">
        <v>34430785.530000009</v>
      </c>
      <c r="D12" s="148">
        <v>0</v>
      </c>
      <c r="E12" s="151">
        <v>0</v>
      </c>
      <c r="F12" s="148">
        <f>D12*E12</f>
        <v>0</v>
      </c>
      <c r="G12" s="148">
        <v>0</v>
      </c>
      <c r="H12" s="151">
        <v>0</v>
      </c>
      <c r="I12" s="148">
        <f>G12*H12</f>
        <v>0</v>
      </c>
    </row>
    <row r="13" spans="1:10" x14ac:dyDescent="0.25">
      <c r="A13" s="167" t="s">
        <v>49</v>
      </c>
      <c r="B13" s="167" t="s">
        <v>49</v>
      </c>
      <c r="C13" s="153">
        <f>SUBTOTAL(9,C11:C12)</f>
        <v>36051868.719999999</v>
      </c>
      <c r="D13" s="153">
        <f>SUBTOTAL(9,D11:D12)</f>
        <v>1460869.6200000173</v>
      </c>
      <c r="E13" s="175">
        <v>0</v>
      </c>
      <c r="F13" s="153">
        <f>SUBTOTAL(9,F11:F12)</f>
        <v>0</v>
      </c>
      <c r="G13" s="153">
        <f>SUBTOTAL(9,G11:G12)</f>
        <v>1460869.6200000173</v>
      </c>
      <c r="H13" s="175">
        <v>0</v>
      </c>
      <c r="I13" s="153">
        <f>SUBTOTAL(9,I11:I12)</f>
        <v>0</v>
      </c>
    </row>
    <row r="14" spans="1:10" x14ac:dyDescent="0.25">
      <c r="A14" s="155"/>
      <c r="B14" s="155"/>
      <c r="C14" s="150"/>
      <c r="D14" s="150"/>
      <c r="F14" s="150"/>
      <c r="G14" s="150"/>
      <c r="I14" s="150"/>
    </row>
    <row r="15" spans="1:10" x14ac:dyDescent="0.25">
      <c r="A15" s="155"/>
      <c r="B15" s="155"/>
      <c r="C15" s="150"/>
      <c r="D15" s="150"/>
      <c r="F15" s="150"/>
      <c r="G15" s="150"/>
      <c r="I15" s="150"/>
    </row>
    <row r="16" spans="1:10" x14ac:dyDescent="0.25">
      <c r="A16" s="167" t="s">
        <v>49</v>
      </c>
      <c r="B16" s="167" t="s">
        <v>49</v>
      </c>
      <c r="C16" s="174" t="s">
        <v>45</v>
      </c>
      <c r="D16" s="174" t="s">
        <v>64</v>
      </c>
      <c r="E16" s="167" t="s">
        <v>65</v>
      </c>
      <c r="F16" s="174" t="s">
        <v>66</v>
      </c>
      <c r="G16" s="174" t="s">
        <v>67</v>
      </c>
      <c r="H16" s="167" t="s">
        <v>65</v>
      </c>
      <c r="I16" s="174" t="s">
        <v>68</v>
      </c>
    </row>
    <row r="17" spans="1:13" x14ac:dyDescent="0.25">
      <c r="A17" s="169" t="s">
        <v>52</v>
      </c>
      <c r="B17" s="169" t="s">
        <v>53</v>
      </c>
      <c r="C17" s="148">
        <v>147333.98000000007</v>
      </c>
      <c r="D17" s="148">
        <v>148296.44000000012</v>
      </c>
      <c r="E17" s="151">
        <v>0</v>
      </c>
      <c r="F17" s="148">
        <f>D17*E17</f>
        <v>0</v>
      </c>
      <c r="G17" s="148">
        <v>148296.44000000012</v>
      </c>
      <c r="H17" s="151">
        <v>0</v>
      </c>
      <c r="I17" s="148">
        <f>G17*H17</f>
        <v>0</v>
      </c>
    </row>
    <row r="18" spans="1:13" x14ac:dyDescent="0.25">
      <c r="A18" s="169" t="s">
        <v>72</v>
      </c>
      <c r="B18" s="169" t="s">
        <v>50</v>
      </c>
      <c r="C18" s="148">
        <v>556104.24000000022</v>
      </c>
      <c r="D18" s="148">
        <v>0</v>
      </c>
      <c r="E18" s="151">
        <v>0</v>
      </c>
      <c r="F18" s="148">
        <f>D18*E18</f>
        <v>0</v>
      </c>
      <c r="G18" s="148">
        <v>0</v>
      </c>
      <c r="H18" s="151">
        <v>0</v>
      </c>
      <c r="I18" s="148">
        <f>G18*H18</f>
        <v>0</v>
      </c>
    </row>
    <row r="19" spans="1:13" x14ac:dyDescent="0.25">
      <c r="A19" s="167" t="s">
        <v>49</v>
      </c>
      <c r="B19" s="167" t="s">
        <v>49</v>
      </c>
      <c r="C19" s="153">
        <f>SUBTOTAL(9,C17:C18)</f>
        <v>703438.22000000032</v>
      </c>
      <c r="D19" s="153">
        <f>SUBTOTAL(9,D17:D18)</f>
        <v>148296.44000000012</v>
      </c>
      <c r="E19" s="175">
        <v>0</v>
      </c>
      <c r="F19" s="153">
        <f>SUBTOTAL(9,F17:F18)</f>
        <v>0</v>
      </c>
      <c r="G19" s="153">
        <f>SUBTOTAL(9,G17:G18)</f>
        <v>148296.44000000012</v>
      </c>
      <c r="H19" s="175">
        <v>0</v>
      </c>
      <c r="I19" s="153">
        <f>SUBTOTAL(9,I17:I18)</f>
        <v>0</v>
      </c>
    </row>
    <row r="20" spans="1:13" x14ac:dyDescent="0.25">
      <c r="A20" s="155"/>
      <c r="B20" s="155"/>
      <c r="C20" s="150"/>
      <c r="D20" s="150"/>
      <c r="F20" s="150"/>
      <c r="G20" s="150"/>
      <c r="I20" s="150"/>
    </row>
    <row r="21" spans="1:13" x14ac:dyDescent="0.25">
      <c r="A21" s="155"/>
      <c r="B21" s="155"/>
      <c r="C21" s="150"/>
      <c r="D21" s="150"/>
      <c r="F21" s="150"/>
      <c r="G21" s="150"/>
      <c r="I21" s="150"/>
    </row>
    <row r="22" spans="1:13" ht="15.75" thickBot="1" x14ac:dyDescent="0.3">
      <c r="A22" s="155"/>
      <c r="B22" s="155"/>
      <c r="C22" s="150"/>
      <c r="D22" s="150"/>
      <c r="F22" s="150"/>
      <c r="G22" s="150"/>
      <c r="I22" s="150"/>
    </row>
    <row r="23" spans="1:13" x14ac:dyDescent="0.25">
      <c r="A23" s="167" t="s">
        <v>49</v>
      </c>
      <c r="B23" s="167" t="s">
        <v>49</v>
      </c>
      <c r="C23" s="174" t="s">
        <v>45</v>
      </c>
      <c r="D23" s="174" t="s">
        <v>64</v>
      </c>
      <c r="E23" s="167" t="s">
        <v>65</v>
      </c>
      <c r="F23" s="174" t="s">
        <v>66</v>
      </c>
      <c r="G23" s="174" t="s">
        <v>67</v>
      </c>
      <c r="H23" s="167" t="s">
        <v>65</v>
      </c>
      <c r="I23" s="174" t="s">
        <v>68</v>
      </c>
      <c r="J23" s="180" t="s">
        <v>61</v>
      </c>
      <c r="K23" s="178" t="s">
        <v>74</v>
      </c>
      <c r="M23" s="152" t="s">
        <v>75</v>
      </c>
    </row>
    <row r="24" spans="1:13" ht="15.75" thickBot="1" x14ac:dyDescent="0.3">
      <c r="A24" s="169" t="s">
        <v>46</v>
      </c>
      <c r="B24" s="169" t="s">
        <v>73</v>
      </c>
      <c r="C24" s="148">
        <v>10446810</v>
      </c>
      <c r="D24" s="148">
        <v>1060180</v>
      </c>
      <c r="E24" s="149">
        <v>6.4999999999999997E-3</v>
      </c>
      <c r="F24" s="148">
        <f>D24*E24</f>
        <v>6891.17</v>
      </c>
      <c r="G24" s="148">
        <v>1060180</v>
      </c>
      <c r="H24" s="151">
        <v>0.03</v>
      </c>
      <c r="I24" s="148">
        <f>G24*H24</f>
        <v>31805.399999999998</v>
      </c>
      <c r="J24" s="181">
        <v>91062.99</v>
      </c>
      <c r="K24" s="179">
        <f>J24*M24</f>
        <v>9241.401034210443</v>
      </c>
      <c r="M24" s="166">
        <f>D24/C24</f>
        <v>0.1014836107864506</v>
      </c>
    </row>
    <row r="25" spans="1:13" x14ac:dyDescent="0.25">
      <c r="A25" s="155"/>
      <c r="B25" s="155"/>
    </row>
    <row r="26" spans="1:13" x14ac:dyDescent="0.25">
      <c r="A26" s="155"/>
      <c r="B26" s="155"/>
    </row>
    <row r="27" spans="1:13" x14ac:dyDescent="0.25">
      <c r="A27" s="167" t="s">
        <v>49</v>
      </c>
      <c r="B27" s="167" t="s">
        <v>49</v>
      </c>
      <c r="C27" s="174" t="s">
        <v>45</v>
      </c>
      <c r="D27" s="174" t="s">
        <v>64</v>
      </c>
      <c r="E27" s="167" t="s">
        <v>65</v>
      </c>
      <c r="F27" s="174" t="s">
        <v>66</v>
      </c>
      <c r="G27" s="174" t="s">
        <v>67</v>
      </c>
      <c r="H27" s="167" t="s">
        <v>65</v>
      </c>
      <c r="I27" s="174" t="s">
        <v>68</v>
      </c>
    </row>
    <row r="28" spans="1:13" x14ac:dyDescent="0.25">
      <c r="A28" s="169">
        <v>6411</v>
      </c>
      <c r="B28" s="169" t="s">
        <v>51</v>
      </c>
      <c r="C28" s="148">
        <v>1080.52</v>
      </c>
      <c r="D28" s="148">
        <v>1242.5999999999999</v>
      </c>
      <c r="E28" s="151">
        <v>0</v>
      </c>
      <c r="F28" s="148">
        <f>D28*E28</f>
        <v>0</v>
      </c>
      <c r="G28" s="148">
        <v>1242.5999999999999</v>
      </c>
      <c r="H28" s="151">
        <v>0</v>
      </c>
      <c r="I28" s="148">
        <f>G28*H28</f>
        <v>0</v>
      </c>
    </row>
    <row r="29" spans="1:13" x14ac:dyDescent="0.25">
      <c r="A29" s="155"/>
      <c r="B29" s="155"/>
    </row>
    <row r="30" spans="1:13" x14ac:dyDescent="0.25">
      <c r="A30" s="155"/>
      <c r="B30" s="155"/>
    </row>
    <row r="31" spans="1:13" x14ac:dyDescent="0.25">
      <c r="B31" s="176" t="s">
        <v>54</v>
      </c>
      <c r="C31" s="177">
        <f>C7+C13+C19+C24+C28</f>
        <v>48961985.050000004</v>
      </c>
      <c r="D31" s="177">
        <f>D7+D13+D19+D24+D28</f>
        <v>4361979.9800000247</v>
      </c>
      <c r="E31" s="167" t="s">
        <v>49</v>
      </c>
      <c r="F31" s="177">
        <f>F7+F13+F19+F24+F28</f>
        <v>34683.17567000031</v>
      </c>
      <c r="G31" s="177">
        <f>G7+G13+G19+G24+G28</f>
        <v>4361979.9800000247</v>
      </c>
      <c r="H31" s="167" t="s">
        <v>49</v>
      </c>
      <c r="I31" s="177">
        <f>I7+I13+I19+I24+I28</f>
        <v>160351.14032000062</v>
      </c>
    </row>
    <row r="33" spans="2:8" x14ac:dyDescent="0.25">
      <c r="C33" s="154" t="e">
        <f>C31-#REF!</f>
        <v>#REF!</v>
      </c>
      <c r="D33" s="154" t="e">
        <f>D31-#REF!</f>
        <v>#REF!</v>
      </c>
    </row>
    <row r="37" spans="2:8" x14ac:dyDescent="0.25">
      <c r="B37" s="196" t="s">
        <v>91</v>
      </c>
      <c r="C37" s="199">
        <v>1</v>
      </c>
      <c r="D37" s="199">
        <f>H39</f>
        <v>0.79</v>
      </c>
    </row>
    <row r="38" spans="2:8" x14ac:dyDescent="0.25">
      <c r="B38" s="200" t="s">
        <v>57</v>
      </c>
      <c r="C38" s="201">
        <v>70859.459999999992</v>
      </c>
      <c r="D38" s="201">
        <f>C38*H39</f>
        <v>55978.973399999995</v>
      </c>
      <c r="F38" s="196" t="s">
        <v>88</v>
      </c>
      <c r="G38" s="197">
        <f>G39+G40</f>
        <v>48960904.530000001</v>
      </c>
    </row>
    <row r="39" spans="2:8" x14ac:dyDescent="0.25">
      <c r="B39" s="200" t="s">
        <v>56</v>
      </c>
      <c r="C39" s="201">
        <v>13176.19</v>
      </c>
      <c r="D39" s="201">
        <f>C39*H39</f>
        <v>10409.190100000002</v>
      </c>
      <c r="F39" s="193" t="s">
        <v>90</v>
      </c>
      <c r="G39" s="148">
        <f>C7+C13+C19</f>
        <v>38514094.530000001</v>
      </c>
      <c r="H39" s="166">
        <f>ROUND(G39/G38,2)</f>
        <v>0.79</v>
      </c>
    </row>
    <row r="40" spans="2:8" x14ac:dyDescent="0.25">
      <c r="B40" s="200" t="s">
        <v>58</v>
      </c>
      <c r="C40" s="201">
        <v>181249.47</v>
      </c>
      <c r="D40" s="201">
        <f>C40*H39</f>
        <v>143187.08130000002</v>
      </c>
      <c r="F40" s="193" t="s">
        <v>89</v>
      </c>
      <c r="G40" s="148">
        <f>C24</f>
        <v>10446810</v>
      </c>
      <c r="H40" s="166">
        <f>ROUND(G40/G38,2)</f>
        <v>0.21</v>
      </c>
    </row>
    <row r="41" spans="2:8" x14ac:dyDescent="0.25">
      <c r="B41" s="200" t="s">
        <v>59</v>
      </c>
      <c r="C41" s="201">
        <v>13755.85</v>
      </c>
      <c r="D41" s="201">
        <f>C41*H39</f>
        <v>10867.121500000001</v>
      </c>
      <c r="H41" s="198">
        <f>SUM(H39:H40)</f>
        <v>1</v>
      </c>
    </row>
    <row r="42" spans="2:8" x14ac:dyDescent="0.25">
      <c r="B42" s="200" t="s">
        <v>21</v>
      </c>
      <c r="C42" s="201">
        <v>93849.06</v>
      </c>
      <c r="D42" s="201">
        <f>C42*H39</f>
        <v>74140.757400000002</v>
      </c>
    </row>
    <row r="43" spans="2:8" x14ac:dyDescent="0.25">
      <c r="B43" s="200" t="s">
        <v>55</v>
      </c>
      <c r="C43" s="201">
        <v>131414.66</v>
      </c>
      <c r="D43" s="201">
        <f>C43*H39</f>
        <v>103817.58140000001</v>
      </c>
    </row>
    <row r="44" spans="2:8" x14ac:dyDescent="0.25">
      <c r="B44" s="202" t="s">
        <v>19</v>
      </c>
      <c r="C44" s="203">
        <f>SUM(C39:C43)</f>
        <v>433445.23</v>
      </c>
      <c r="D44" s="203">
        <f>SUM(D39:D43)</f>
        <v>342421.73170000006</v>
      </c>
      <c r="F44" s="196" t="s">
        <v>88</v>
      </c>
      <c r="G44" s="197">
        <f>G45+G46</f>
        <v>7662537.3600000497</v>
      </c>
    </row>
    <row r="45" spans="2:8" x14ac:dyDescent="0.25">
      <c r="F45" s="193" t="s">
        <v>90</v>
      </c>
      <c r="G45" s="148">
        <f>D7+D13+D19</f>
        <v>3300557.3800000255</v>
      </c>
      <c r="H45" s="166">
        <f>ROUND(G45/G44,2)</f>
        <v>0.43</v>
      </c>
    </row>
    <row r="46" spans="2:8" x14ac:dyDescent="0.25">
      <c r="F46" s="193" t="s">
        <v>89</v>
      </c>
      <c r="G46" s="148">
        <f>D31</f>
        <v>4361979.9800000247</v>
      </c>
      <c r="H46" s="166">
        <f>ROUND(G46/G44,2)</f>
        <v>0.56999999999999995</v>
      </c>
    </row>
    <row r="47" spans="2:8" x14ac:dyDescent="0.25">
      <c r="B47">
        <v>6130101005</v>
      </c>
      <c r="C47" s="150">
        <v>31867.41</v>
      </c>
      <c r="D47" s="150">
        <f>ROUND(C47*H39,2)</f>
        <v>25175.25</v>
      </c>
      <c r="H47" s="198">
        <f>SUM(H45:H46)</f>
        <v>1</v>
      </c>
    </row>
    <row r="48" spans="2:8" x14ac:dyDescent="0.25">
      <c r="B48">
        <v>6130101005</v>
      </c>
      <c r="C48" s="150">
        <v>99547.25</v>
      </c>
      <c r="D48" s="150">
        <f>ROUND(C48*H39,2)</f>
        <v>78642.33</v>
      </c>
    </row>
    <row r="50" spans="2:4" x14ac:dyDescent="0.25">
      <c r="B50">
        <v>6140601002</v>
      </c>
      <c r="C50" s="154">
        <f>C42</f>
        <v>93849.06</v>
      </c>
      <c r="D50" s="154">
        <f>C50*H39</f>
        <v>74140.757400000002</v>
      </c>
    </row>
    <row r="52" spans="2:4" x14ac:dyDescent="0.25">
      <c r="B52">
        <v>6130301001</v>
      </c>
      <c r="C52" s="154">
        <f>C39+C40+C41</f>
        <v>208181.51</v>
      </c>
      <c r="D52" s="154">
        <f>C52*H39</f>
        <v>164463.39290000001</v>
      </c>
    </row>
    <row r="54" spans="2:4" x14ac:dyDescent="0.25">
      <c r="C54" s="154">
        <f>SUM(C47:C52)</f>
        <v>433445.23</v>
      </c>
      <c r="D54" s="154">
        <f>SUM(D47:D52)</f>
        <v>342421.73030000005</v>
      </c>
    </row>
    <row r="55" spans="2:4" x14ac:dyDescent="0.25">
      <c r="C55" s="154">
        <f>C54-C44</f>
        <v>0</v>
      </c>
      <c r="D55" s="154">
        <f>D54-D44</f>
        <v>-1.4000000082887709E-3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82A2-EBF3-444A-BAAD-C8C46A780CA6}">
  <sheetPr>
    <tabColor rgb="FFFFFF00"/>
  </sheetPr>
  <dimension ref="A2:G12"/>
  <sheetViews>
    <sheetView workbookViewId="0">
      <selection activeCell="G12" sqref="G12"/>
    </sheetView>
  </sheetViews>
  <sheetFormatPr defaultRowHeight="15" x14ac:dyDescent="0.25"/>
  <cols>
    <col min="2" max="2" width="18.140625" style="150" bestFit="1" customWidth="1"/>
    <col min="3" max="3" width="24" style="150" bestFit="1" customWidth="1"/>
  </cols>
  <sheetData>
    <row r="2" spans="1:7" x14ac:dyDescent="0.25">
      <c r="A2" s="329" t="s">
        <v>89</v>
      </c>
      <c r="B2" s="329"/>
      <c r="C2" s="329"/>
    </row>
    <row r="3" spans="1:7" ht="18.75" x14ac:dyDescent="0.3">
      <c r="B3" s="318" t="s">
        <v>66</v>
      </c>
      <c r="C3" s="319" t="s">
        <v>68</v>
      </c>
    </row>
    <row r="4" spans="1:7" ht="19.5" thickBot="1" x14ac:dyDescent="0.35">
      <c r="B4" s="320">
        <f>'Pis e Cofins - CUMULATIVO '!C109</f>
        <v>0</v>
      </c>
      <c r="C4" s="321">
        <f>'Pis e Cofins - CUMULATIVO '!C110</f>
        <v>0</v>
      </c>
    </row>
    <row r="5" spans="1:7" ht="15.75" thickBot="1" x14ac:dyDescent="0.3"/>
    <row r="6" spans="1:7" ht="15.75" thickBot="1" x14ac:dyDescent="0.3">
      <c r="A6" s="330" t="s">
        <v>90</v>
      </c>
      <c r="B6" s="331"/>
      <c r="C6" s="332"/>
    </row>
    <row r="7" spans="1:7" ht="18.75" x14ac:dyDescent="0.3">
      <c r="B7" s="318" t="s">
        <v>66</v>
      </c>
      <c r="C7" s="319" t="s">
        <v>68</v>
      </c>
    </row>
    <row r="8" spans="1:7" ht="19.5" thickBot="1" x14ac:dyDescent="0.35">
      <c r="B8" s="320">
        <f>'Pis e Cofins - NAO CUMULATIVO'!C113</f>
        <v>0</v>
      </c>
      <c r="C8" s="325">
        <f>'Pis e Cofins - NAO CUMULATIVO'!C114</f>
        <v>0</v>
      </c>
    </row>
    <row r="9" spans="1:7" ht="15.75" thickBot="1" x14ac:dyDescent="0.3"/>
    <row r="10" spans="1:7" ht="15.75" thickBot="1" x14ac:dyDescent="0.3">
      <c r="A10" s="330" t="s">
        <v>19</v>
      </c>
      <c r="B10" s="331"/>
      <c r="C10" s="332"/>
    </row>
    <row r="11" spans="1:7" ht="18.75" x14ac:dyDescent="0.3">
      <c r="B11" s="318" t="s">
        <v>66</v>
      </c>
      <c r="C11" s="319" t="s">
        <v>68</v>
      </c>
    </row>
    <row r="12" spans="1:7" ht="19.5" thickBot="1" x14ac:dyDescent="0.35">
      <c r="B12" s="322">
        <f>B4+B8</f>
        <v>0</v>
      </c>
      <c r="C12" s="323">
        <f>C4+C8</f>
        <v>0</v>
      </c>
      <c r="G12" s="326"/>
    </row>
  </sheetData>
  <mergeCells count="3">
    <mergeCell ref="A2:C2"/>
    <mergeCell ref="A6:C6"/>
    <mergeCell ref="A10:C10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CZ135"/>
  <sheetViews>
    <sheetView tabSelected="1" topLeftCell="A26" zoomScaleNormal="100" workbookViewId="0">
      <selection activeCell="A36" sqref="A36"/>
    </sheetView>
  </sheetViews>
  <sheetFormatPr defaultColWidth="9.140625" defaultRowHeight="12" x14ac:dyDescent="0.2"/>
  <cols>
    <col min="1" max="1" width="39.7109375" style="80" bestFit="1" customWidth="1"/>
    <col min="2" max="2" width="8.5703125" style="15" bestFit="1" customWidth="1"/>
    <col min="3" max="3" width="15.85546875" style="29" bestFit="1" customWidth="1"/>
    <col min="4" max="13" width="13.28515625" style="11" hidden="1" customWidth="1"/>
    <col min="14" max="14" width="13.42578125" style="290" bestFit="1" customWidth="1"/>
    <col min="15" max="15" width="12" style="2" bestFit="1" customWidth="1"/>
    <col min="16" max="16" width="11.140625" style="2" bestFit="1" customWidth="1"/>
    <col min="17" max="17" width="12" style="2" bestFit="1" customWidth="1"/>
    <col min="18" max="18" width="11.140625" style="2" bestFit="1" customWidth="1"/>
    <col min="19" max="20" width="9.140625" style="2"/>
    <col min="21" max="21" width="10.42578125" style="2" bestFit="1" customWidth="1"/>
    <col min="22" max="16384" width="9.140625" style="2"/>
  </cols>
  <sheetData>
    <row r="1" spans="1:104" s="1" customFormat="1" ht="18.75" x14ac:dyDescent="0.25">
      <c r="A1" s="312"/>
      <c r="B1" s="312"/>
      <c r="C1" s="312"/>
      <c r="D1" s="307"/>
      <c r="E1" s="307"/>
      <c r="F1" s="307"/>
      <c r="G1" s="307"/>
      <c r="H1" s="307"/>
      <c r="I1" s="307"/>
      <c r="J1" s="307"/>
      <c r="K1" s="307"/>
      <c r="L1" s="307"/>
      <c r="N1" s="303"/>
    </row>
    <row r="2" spans="1:104" ht="12.75" thickBot="1" x14ac:dyDescent="0.25">
      <c r="A2" s="136" t="s">
        <v>0</v>
      </c>
      <c r="B2" s="133"/>
      <c r="C2" s="134" t="s">
        <v>4</v>
      </c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1:104" ht="7.5" customHeight="1" thickTop="1" x14ac:dyDescent="0.2">
      <c r="A3" s="60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2"/>
    </row>
    <row r="4" spans="1:104" ht="13.5" customHeight="1" x14ac:dyDescent="0.2">
      <c r="A4" s="67" t="s">
        <v>166</v>
      </c>
      <c r="B4" s="12"/>
      <c r="C4" s="27"/>
      <c r="D4" s="4"/>
      <c r="E4" s="4"/>
      <c r="F4" s="4"/>
      <c r="G4" s="4"/>
      <c r="H4" s="4"/>
      <c r="I4" s="4"/>
      <c r="J4" s="4"/>
      <c r="K4" s="4"/>
      <c r="L4" s="4"/>
      <c r="M4" s="299"/>
      <c r="O4" s="306"/>
    </row>
    <row r="5" spans="1:104" ht="13.5" customHeight="1" x14ac:dyDescent="0.2">
      <c r="A5" s="67" t="s">
        <v>167</v>
      </c>
      <c r="B5" s="12"/>
      <c r="C5" s="27"/>
      <c r="D5" s="4"/>
      <c r="E5" s="4"/>
      <c r="F5" s="4"/>
      <c r="G5" s="4"/>
      <c r="H5" s="4"/>
      <c r="I5" s="4"/>
      <c r="J5" s="4"/>
      <c r="K5" s="4"/>
      <c r="L5" s="4"/>
      <c r="M5" s="299"/>
      <c r="O5" s="223"/>
      <c r="Q5" s="223"/>
    </row>
    <row r="6" spans="1:104" ht="13.5" customHeight="1" x14ac:dyDescent="0.2">
      <c r="A6" s="67" t="s">
        <v>168</v>
      </c>
      <c r="B6" s="12"/>
      <c r="C6" s="27"/>
      <c r="D6" s="4"/>
      <c r="E6" s="4"/>
      <c r="F6" s="4"/>
      <c r="G6" s="4"/>
      <c r="H6" s="4"/>
      <c r="I6" s="4"/>
      <c r="J6" s="4"/>
      <c r="K6" s="4"/>
      <c r="L6" s="4"/>
      <c r="M6" s="299"/>
      <c r="O6" s="223"/>
      <c r="Q6" s="223"/>
    </row>
    <row r="7" spans="1:104" ht="13.5" customHeight="1" x14ac:dyDescent="0.2">
      <c r="A7" s="67" t="s">
        <v>197</v>
      </c>
      <c r="B7" s="12"/>
      <c r="C7" s="27"/>
      <c r="D7" s="4"/>
      <c r="E7" s="4"/>
      <c r="F7" s="4"/>
      <c r="G7" s="4"/>
      <c r="H7" s="4"/>
      <c r="I7" s="4"/>
      <c r="J7" s="4"/>
      <c r="K7" s="4"/>
      <c r="L7" s="4"/>
      <c r="M7" s="299"/>
      <c r="O7" s="223"/>
      <c r="Q7" s="223"/>
    </row>
    <row r="8" spans="1:104" ht="13.5" customHeight="1" x14ac:dyDescent="0.2">
      <c r="A8" s="67" t="s">
        <v>165</v>
      </c>
      <c r="B8" s="12"/>
      <c r="C8" s="27"/>
      <c r="D8" s="4"/>
      <c r="E8" s="4"/>
      <c r="F8" s="4"/>
      <c r="G8" s="4"/>
      <c r="H8" s="4"/>
      <c r="I8" s="4"/>
      <c r="J8" s="4"/>
      <c r="K8" s="4"/>
      <c r="L8" s="4"/>
      <c r="M8" s="299"/>
      <c r="O8" s="306"/>
      <c r="S8" s="223"/>
    </row>
    <row r="9" spans="1:104" ht="12.75" x14ac:dyDescent="0.2">
      <c r="A9" s="132" t="s">
        <v>13</v>
      </c>
      <c r="B9" s="17"/>
      <c r="C9" s="26">
        <f>SUM(C4:C8)</f>
        <v>0</v>
      </c>
      <c r="D9" s="26"/>
      <c r="E9" s="26"/>
      <c r="F9" s="26"/>
      <c r="G9" s="26"/>
      <c r="H9" s="26"/>
      <c r="I9" s="26"/>
      <c r="J9" s="26"/>
      <c r="K9" s="26"/>
      <c r="L9" s="26"/>
      <c r="M9" s="26"/>
      <c r="O9" s="223"/>
    </row>
    <row r="10" spans="1:104" x14ac:dyDescent="0.2">
      <c r="R10" s="316"/>
    </row>
    <row r="11" spans="1:104" ht="12.75" thickBot="1" x14ac:dyDescent="0.25">
      <c r="A11" s="313"/>
      <c r="B11" s="314"/>
      <c r="C11" s="314"/>
      <c r="D11" s="314"/>
      <c r="E11" s="314"/>
      <c r="F11" s="314"/>
      <c r="G11" s="314"/>
      <c r="H11" s="314"/>
      <c r="I11" s="314"/>
      <c r="J11" s="314"/>
      <c r="K11" s="314"/>
      <c r="L11" s="314"/>
      <c r="M11" s="315"/>
      <c r="Q11" s="223"/>
    </row>
    <row r="12" spans="1:104" ht="12.75" thickBot="1" x14ac:dyDescent="0.25">
      <c r="A12" s="30" t="s">
        <v>14</v>
      </c>
      <c r="B12" s="13"/>
      <c r="C12" s="134" t="s">
        <v>4</v>
      </c>
      <c r="D12" s="5"/>
      <c r="E12" s="5"/>
      <c r="F12" s="5"/>
      <c r="G12" s="5"/>
      <c r="H12" s="5"/>
      <c r="I12" s="5"/>
      <c r="J12" s="5"/>
      <c r="K12" s="5"/>
      <c r="L12" s="5"/>
      <c r="M12" s="41"/>
      <c r="Q12" s="223"/>
    </row>
    <row r="13" spans="1:104" ht="12.75" thickTop="1" x14ac:dyDescent="0.2">
      <c r="A13" s="60"/>
      <c r="B13" s="12"/>
      <c r="C13" s="4"/>
      <c r="D13" s="4"/>
      <c r="E13" s="4"/>
      <c r="F13" s="4"/>
      <c r="G13" s="4"/>
      <c r="H13" s="4"/>
      <c r="I13" s="4"/>
      <c r="J13" s="4"/>
      <c r="K13" s="4"/>
      <c r="L13" s="4"/>
      <c r="M13" s="42"/>
      <c r="P13" s="290"/>
      <c r="Q13" s="223"/>
      <c r="R13" s="223"/>
    </row>
    <row r="14" spans="1:104" x14ac:dyDescent="0.2">
      <c r="A14" s="61" t="s">
        <v>15</v>
      </c>
      <c r="B14" s="12">
        <v>1.6500000000000001E-2</v>
      </c>
      <c r="C14" s="16">
        <f>C9*B14</f>
        <v>0</v>
      </c>
      <c r="D14" s="6"/>
      <c r="E14" s="6"/>
      <c r="F14" s="6"/>
      <c r="G14" s="6"/>
      <c r="H14" s="6"/>
      <c r="I14" s="6"/>
      <c r="J14" s="6"/>
      <c r="K14" s="6"/>
      <c r="L14" s="6"/>
      <c r="M14" s="31"/>
      <c r="O14" s="223"/>
      <c r="P14" s="290"/>
    </row>
    <row r="15" spans="1:104" s="8" customFormat="1" ht="12.75" thickBot="1" x14ac:dyDescent="0.25">
      <c r="A15" s="62" t="s">
        <v>16</v>
      </c>
      <c r="B15" s="14">
        <v>7.5999999999999998E-2</v>
      </c>
      <c r="C15" s="16">
        <f>C9*B15</f>
        <v>0</v>
      </c>
      <c r="D15" s="7"/>
      <c r="E15" s="7"/>
      <c r="F15" s="7"/>
      <c r="G15" s="7"/>
      <c r="H15" s="7"/>
      <c r="I15" s="7"/>
      <c r="J15" s="7"/>
      <c r="K15" s="7"/>
      <c r="L15" s="7"/>
      <c r="M15" s="32"/>
      <c r="N15" s="290"/>
      <c r="O15" s="223"/>
      <c r="P15" s="290"/>
      <c r="Q15" s="223"/>
      <c r="R15" s="223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</row>
    <row r="16" spans="1:104" s="10" customFormat="1" ht="12.75" thickTop="1" x14ac:dyDescent="0.2">
      <c r="A16" s="63" t="s">
        <v>17</v>
      </c>
      <c r="B16" s="33"/>
      <c r="C16" s="34">
        <f>SUM(C14:C15)</f>
        <v>0</v>
      </c>
      <c r="D16" s="35"/>
      <c r="E16" s="35"/>
      <c r="F16" s="35"/>
      <c r="G16" s="35"/>
      <c r="H16" s="35"/>
      <c r="I16" s="35"/>
      <c r="J16" s="35"/>
      <c r="K16" s="35"/>
      <c r="L16" s="35"/>
      <c r="M16" s="36"/>
      <c r="N16" s="304"/>
    </row>
    <row r="17" spans="1:17" ht="11.25" customHeight="1" x14ac:dyDescent="0.2">
      <c r="A17" s="64"/>
      <c r="B17" s="45"/>
      <c r="C17" s="46"/>
      <c r="D17" s="47"/>
      <c r="E17" s="47"/>
      <c r="F17" s="47"/>
      <c r="G17" s="47"/>
      <c r="H17" s="47"/>
      <c r="I17" s="47"/>
      <c r="J17" s="47"/>
      <c r="K17" s="47"/>
      <c r="L17" s="47"/>
      <c r="M17" s="47"/>
      <c r="Q17" s="223"/>
    </row>
    <row r="18" spans="1:17" x14ac:dyDescent="0.2">
      <c r="A18" s="65" t="s">
        <v>18</v>
      </c>
      <c r="B18" s="19"/>
      <c r="C18" s="23"/>
      <c r="D18" s="21"/>
      <c r="E18" s="21"/>
      <c r="F18" s="21"/>
      <c r="G18" s="21"/>
      <c r="H18" s="21"/>
      <c r="I18" s="21"/>
      <c r="J18" s="21"/>
      <c r="K18" s="21"/>
      <c r="L18" s="21"/>
      <c r="M18" s="37"/>
    </row>
    <row r="19" spans="1:17" s="57" customFormat="1" ht="12.75" thickBot="1" x14ac:dyDescent="0.25">
      <c r="A19" s="66" t="s">
        <v>116</v>
      </c>
      <c r="B19" s="53"/>
      <c r="C19" s="54">
        <v>0</v>
      </c>
      <c r="D19" s="55"/>
      <c r="E19" s="55"/>
      <c r="F19" s="55"/>
      <c r="G19" s="55"/>
      <c r="H19" s="55"/>
      <c r="I19" s="55"/>
      <c r="J19" s="55"/>
      <c r="K19" s="55"/>
      <c r="L19" s="55"/>
      <c r="M19" s="56"/>
      <c r="N19" s="302"/>
    </row>
    <row r="20" spans="1:17" ht="12.75" thickTop="1" x14ac:dyDescent="0.2">
      <c r="A20" s="67" t="s">
        <v>19</v>
      </c>
      <c r="B20" s="12"/>
      <c r="C20" s="24">
        <v>0</v>
      </c>
      <c r="D20" s="6"/>
      <c r="E20" s="6"/>
      <c r="F20" s="6"/>
      <c r="G20" s="6"/>
      <c r="H20" s="6"/>
      <c r="I20" s="6"/>
      <c r="J20" s="6"/>
      <c r="K20" s="6"/>
      <c r="L20" s="6"/>
      <c r="M20" s="31"/>
    </row>
    <row r="21" spans="1:17" x14ac:dyDescent="0.2">
      <c r="A21" s="68"/>
      <c r="B21" s="12"/>
      <c r="C21" s="25"/>
      <c r="D21" s="6"/>
      <c r="E21" s="6"/>
      <c r="F21" s="6"/>
      <c r="G21" s="6"/>
      <c r="H21" s="6"/>
      <c r="I21" s="6"/>
      <c r="J21" s="6"/>
      <c r="K21" s="6"/>
      <c r="L21" s="6"/>
      <c r="M21" s="31"/>
    </row>
    <row r="22" spans="1:17" x14ac:dyDescent="0.2">
      <c r="A22" s="68" t="s">
        <v>15</v>
      </c>
      <c r="B22" s="12">
        <v>1.6500000000000001E-2</v>
      </c>
      <c r="C22" s="16">
        <v>0</v>
      </c>
      <c r="D22" s="6"/>
      <c r="E22" s="6"/>
      <c r="F22" s="6"/>
      <c r="G22" s="6"/>
      <c r="H22" s="6"/>
      <c r="I22" s="6"/>
      <c r="J22" s="6"/>
      <c r="K22" s="6"/>
      <c r="L22" s="6"/>
      <c r="M22" s="31"/>
    </row>
    <row r="23" spans="1:17" ht="12.75" thickBot="1" x14ac:dyDescent="0.25">
      <c r="A23" s="66" t="s">
        <v>16</v>
      </c>
      <c r="B23" s="14">
        <v>7.5999999999999998E-2</v>
      </c>
      <c r="C23" s="22">
        <v>0</v>
      </c>
      <c r="D23" s="7"/>
      <c r="E23" s="7"/>
      <c r="F23" s="7"/>
      <c r="G23" s="7"/>
      <c r="H23" s="7"/>
      <c r="I23" s="7"/>
      <c r="J23" s="7"/>
      <c r="K23" s="7"/>
      <c r="L23" s="7"/>
      <c r="M23" s="32"/>
    </row>
    <row r="24" spans="1:17" ht="12.75" thickTop="1" x14ac:dyDescent="0.2">
      <c r="A24" s="69" t="s">
        <v>18</v>
      </c>
      <c r="B24" s="17"/>
      <c r="C24" s="26">
        <v>0</v>
      </c>
      <c r="D24" s="18"/>
      <c r="E24" s="18"/>
      <c r="F24" s="18"/>
      <c r="G24" s="18"/>
      <c r="H24" s="18"/>
      <c r="I24" s="18"/>
      <c r="J24" s="18"/>
      <c r="K24" s="18"/>
      <c r="L24" s="18"/>
      <c r="M24" s="38"/>
    </row>
    <row r="25" spans="1:17" x14ac:dyDescent="0.2">
      <c r="A25" s="70"/>
      <c r="B25" s="45"/>
      <c r="C25" s="48"/>
      <c r="D25" s="49"/>
      <c r="E25" s="49"/>
      <c r="F25" s="49"/>
      <c r="G25" s="49"/>
      <c r="H25" s="49"/>
      <c r="I25" s="49"/>
      <c r="J25" s="49"/>
      <c r="K25" s="49"/>
      <c r="L25" s="49"/>
      <c r="M25" s="49"/>
    </row>
    <row r="26" spans="1:17" x14ac:dyDescent="0.2">
      <c r="A26" s="162" t="s">
        <v>62</v>
      </c>
      <c r="B26" s="163"/>
      <c r="C26" s="165"/>
      <c r="D26" s="164"/>
      <c r="E26" s="164"/>
      <c r="F26" s="164"/>
      <c r="G26" s="164"/>
      <c r="H26" s="164"/>
      <c r="I26" s="164"/>
      <c r="J26" s="164"/>
      <c r="K26" s="164"/>
      <c r="L26" s="164"/>
      <c r="M26" s="164"/>
    </row>
    <row r="27" spans="1:17" ht="12.75" customHeight="1" x14ac:dyDescent="0.2">
      <c r="A27" s="296" t="s">
        <v>20</v>
      </c>
      <c r="B27" s="19"/>
      <c r="C27" s="39"/>
      <c r="D27" s="20"/>
      <c r="E27" s="20"/>
      <c r="F27" s="20"/>
      <c r="G27" s="20"/>
      <c r="H27" s="20"/>
      <c r="I27" s="20"/>
      <c r="J27" s="20"/>
      <c r="K27" s="20"/>
      <c r="L27" s="20"/>
      <c r="M27" s="43"/>
    </row>
    <row r="28" spans="1:17" ht="12.75" customHeight="1" x14ac:dyDescent="0.2">
      <c r="A28" s="68" t="s">
        <v>170</v>
      </c>
      <c r="B28" s="163"/>
      <c r="C28" s="308"/>
      <c r="D28" s="317"/>
      <c r="E28" s="317"/>
      <c r="F28" s="317"/>
      <c r="G28" s="317"/>
      <c r="H28" s="317"/>
      <c r="I28" s="317"/>
      <c r="J28" s="317"/>
      <c r="K28" s="317"/>
      <c r="L28" s="317"/>
      <c r="M28" s="31"/>
    </row>
    <row r="29" spans="1:17" s="57" customFormat="1" x14ac:dyDescent="0.2">
      <c r="A29" s="68" t="s">
        <v>171</v>
      </c>
      <c r="B29" s="68"/>
      <c r="C29" s="308"/>
      <c r="D29" s="59"/>
      <c r="E29" s="288"/>
      <c r="F29" s="59"/>
      <c r="G29" s="59"/>
      <c r="H29" s="59"/>
      <c r="I29" s="288"/>
      <c r="J29" s="292"/>
      <c r="K29" s="59"/>
      <c r="L29" s="288"/>
      <c r="M29" s="291"/>
      <c r="N29" s="302"/>
      <c r="O29" s="224"/>
    </row>
    <row r="30" spans="1:17" s="57" customFormat="1" x14ac:dyDescent="0.2">
      <c r="A30" s="68" t="s">
        <v>172</v>
      </c>
      <c r="B30" s="68"/>
      <c r="C30" s="308"/>
      <c r="D30" s="59"/>
      <c r="E30" s="288"/>
      <c r="F30" s="59"/>
      <c r="G30" s="59"/>
      <c r="H30" s="59"/>
      <c r="I30" s="288"/>
      <c r="J30" s="292"/>
      <c r="K30" s="59"/>
      <c r="L30" s="288"/>
      <c r="M30" s="297"/>
      <c r="N30" s="302"/>
      <c r="O30" s="224"/>
    </row>
    <row r="31" spans="1:17" s="57" customFormat="1" x14ac:dyDescent="0.2">
      <c r="A31" s="68" t="s">
        <v>173</v>
      </c>
      <c r="B31" s="68"/>
      <c r="C31" s="308"/>
      <c r="D31" s="59"/>
      <c r="E31" s="288"/>
      <c r="F31" s="59"/>
      <c r="G31" s="59"/>
      <c r="H31" s="59"/>
      <c r="I31" s="288"/>
      <c r="J31" s="292"/>
      <c r="K31" s="59"/>
      <c r="L31" s="288"/>
      <c r="M31" s="297"/>
      <c r="N31" s="302"/>
      <c r="O31" s="224"/>
    </row>
    <row r="32" spans="1:17" s="57" customFormat="1" x14ac:dyDescent="0.2">
      <c r="A32" s="68" t="s">
        <v>174</v>
      </c>
      <c r="B32" s="68"/>
      <c r="C32" s="308"/>
      <c r="D32" s="59"/>
      <c r="E32" s="288"/>
      <c r="F32" s="59"/>
      <c r="G32" s="59"/>
      <c r="H32" s="59"/>
      <c r="I32" s="288"/>
      <c r="J32" s="292"/>
      <c r="K32" s="59"/>
      <c r="L32" s="288"/>
      <c r="M32" s="288"/>
      <c r="N32" s="302"/>
    </row>
    <row r="33" spans="1:14" s="57" customFormat="1" x14ac:dyDescent="0.2">
      <c r="A33" s="68" t="s">
        <v>175</v>
      </c>
      <c r="B33" s="68"/>
      <c r="C33" s="308"/>
      <c r="D33" s="59"/>
      <c r="E33" s="288"/>
      <c r="F33" s="59"/>
      <c r="G33" s="59"/>
      <c r="H33" s="59"/>
      <c r="I33" s="288"/>
      <c r="J33" s="292"/>
      <c r="K33" s="59"/>
      <c r="L33" s="288"/>
      <c r="M33" s="297"/>
      <c r="N33" s="302"/>
    </row>
    <row r="34" spans="1:14" s="57" customFormat="1" x14ac:dyDescent="0.2">
      <c r="A34" s="68" t="s">
        <v>176</v>
      </c>
      <c r="B34" s="68"/>
      <c r="C34" s="308"/>
      <c r="D34" s="59"/>
      <c r="E34" s="288"/>
      <c r="F34" s="59"/>
      <c r="G34" s="59"/>
      <c r="H34" s="59"/>
      <c r="I34" s="288"/>
      <c r="J34" s="292"/>
      <c r="K34" s="59"/>
      <c r="L34" s="288"/>
      <c r="M34" s="297"/>
      <c r="N34" s="302"/>
    </row>
    <row r="35" spans="1:14" s="57" customFormat="1" x14ac:dyDescent="0.2">
      <c r="A35" s="68" t="s">
        <v>177</v>
      </c>
      <c r="B35" s="68"/>
      <c r="C35" s="308"/>
      <c r="D35" s="59"/>
      <c r="E35" s="288"/>
      <c r="F35" s="59"/>
      <c r="G35" s="59"/>
      <c r="H35" s="59"/>
      <c r="I35" s="288"/>
      <c r="J35" s="292"/>
      <c r="K35" s="59"/>
      <c r="L35" s="288"/>
      <c r="M35" s="297"/>
      <c r="N35" s="302"/>
    </row>
    <row r="36" spans="1:14" s="57" customFormat="1" x14ac:dyDescent="0.2">
      <c r="A36" s="68" t="s">
        <v>178</v>
      </c>
      <c r="B36" s="68"/>
      <c r="C36" s="308"/>
      <c r="D36" s="160"/>
      <c r="E36" s="294"/>
      <c r="F36" s="160"/>
      <c r="G36" s="160"/>
      <c r="H36" s="160"/>
      <c r="I36" s="294"/>
      <c r="J36" s="295"/>
      <c r="K36" s="160"/>
      <c r="L36" s="294"/>
      <c r="M36" s="297"/>
      <c r="N36" s="302"/>
    </row>
    <row r="37" spans="1:14" s="57" customFormat="1" x14ac:dyDescent="0.2">
      <c r="A37" s="68" t="s">
        <v>198</v>
      </c>
      <c r="B37" s="68"/>
      <c r="C37" s="308"/>
      <c r="D37" s="160"/>
      <c r="E37" s="294"/>
      <c r="F37" s="160"/>
      <c r="G37" s="160"/>
      <c r="H37" s="160"/>
      <c r="I37" s="294"/>
      <c r="J37" s="295"/>
      <c r="K37" s="160"/>
      <c r="L37" s="294"/>
      <c r="M37" s="295"/>
      <c r="N37" s="302"/>
    </row>
    <row r="38" spans="1:14" s="57" customFormat="1" x14ac:dyDescent="0.2">
      <c r="A38" s="68" t="s">
        <v>199</v>
      </c>
      <c r="B38" s="68"/>
      <c r="C38" s="308"/>
      <c r="D38" s="160"/>
      <c r="E38" s="294"/>
      <c r="F38" s="160"/>
      <c r="G38" s="160"/>
      <c r="H38" s="160"/>
      <c r="I38" s="294"/>
      <c r="J38" s="295"/>
      <c r="K38" s="160"/>
      <c r="L38" s="294"/>
      <c r="M38" s="295"/>
      <c r="N38" s="302"/>
    </row>
    <row r="39" spans="1:14" s="57" customFormat="1" x14ac:dyDescent="0.2">
      <c r="A39" s="68" t="s">
        <v>200</v>
      </c>
      <c r="B39" s="68"/>
      <c r="C39" s="308"/>
      <c r="D39" s="160"/>
      <c r="E39" s="294"/>
      <c r="F39" s="160"/>
      <c r="G39" s="160"/>
      <c r="H39" s="160"/>
      <c r="I39" s="294"/>
      <c r="J39" s="295"/>
      <c r="K39" s="160"/>
      <c r="L39" s="294"/>
      <c r="M39" s="295"/>
      <c r="N39" s="302"/>
    </row>
    <row r="40" spans="1:14" s="57" customFormat="1" x14ac:dyDescent="0.2">
      <c r="A40" s="68" t="s">
        <v>179</v>
      </c>
      <c r="B40" s="68"/>
      <c r="C40" s="308"/>
      <c r="D40" s="160"/>
      <c r="E40" s="294"/>
      <c r="F40" s="160"/>
      <c r="G40" s="160"/>
      <c r="H40" s="160"/>
      <c r="I40" s="294"/>
      <c r="J40" s="295"/>
      <c r="K40" s="160"/>
      <c r="L40" s="294"/>
      <c r="M40" s="295"/>
      <c r="N40" s="302"/>
    </row>
    <row r="41" spans="1:14" s="57" customFormat="1" x14ac:dyDescent="0.2">
      <c r="A41" s="68" t="s">
        <v>180</v>
      </c>
      <c r="B41" s="68"/>
      <c r="C41" s="308"/>
      <c r="D41" s="160"/>
      <c r="E41" s="294"/>
      <c r="F41" s="160"/>
      <c r="G41" s="160"/>
      <c r="H41" s="160"/>
      <c r="I41" s="294"/>
      <c r="J41" s="295"/>
      <c r="K41" s="160"/>
      <c r="L41" s="294"/>
      <c r="M41" s="295"/>
      <c r="N41" s="302"/>
    </row>
    <row r="42" spans="1:14" s="57" customFormat="1" x14ac:dyDescent="0.2">
      <c r="A42" s="68" t="s">
        <v>181</v>
      </c>
      <c r="B42" s="68"/>
      <c r="C42" s="308"/>
      <c r="D42" s="160"/>
      <c r="E42" s="294"/>
      <c r="F42" s="160"/>
      <c r="G42" s="160"/>
      <c r="H42" s="160"/>
      <c r="I42" s="294"/>
      <c r="J42" s="295"/>
      <c r="K42" s="160"/>
      <c r="L42" s="294"/>
      <c r="M42" s="295"/>
      <c r="N42" s="302"/>
    </row>
    <row r="43" spans="1:14" s="57" customFormat="1" x14ac:dyDescent="0.2">
      <c r="A43" s="68" t="s">
        <v>182</v>
      </c>
      <c r="B43" s="68"/>
      <c r="C43" s="308"/>
      <c r="D43" s="160"/>
      <c r="E43" s="294"/>
      <c r="F43" s="160"/>
      <c r="G43" s="160"/>
      <c r="H43" s="160"/>
      <c r="I43" s="294"/>
      <c r="J43" s="295"/>
      <c r="K43" s="160"/>
      <c r="L43" s="294"/>
      <c r="M43" s="295"/>
      <c r="N43" s="302"/>
    </row>
    <row r="44" spans="1:14" s="57" customFormat="1" x14ac:dyDescent="0.2">
      <c r="A44" s="68" t="s">
        <v>183</v>
      </c>
      <c r="B44" s="68"/>
      <c r="C44" s="308"/>
      <c r="D44" s="160"/>
      <c r="E44" s="294"/>
      <c r="F44" s="160"/>
      <c r="G44" s="160"/>
      <c r="H44" s="160"/>
      <c r="I44" s="294"/>
      <c r="J44" s="295"/>
      <c r="K44" s="160"/>
      <c r="L44" s="294"/>
      <c r="M44" s="295"/>
      <c r="N44" s="302"/>
    </row>
    <row r="45" spans="1:14" s="57" customFormat="1" x14ac:dyDescent="0.2">
      <c r="A45" s="68" t="s">
        <v>184</v>
      </c>
      <c r="B45" s="68"/>
      <c r="C45" s="308"/>
      <c r="D45" s="160"/>
      <c r="E45" s="294"/>
      <c r="F45" s="160"/>
      <c r="G45" s="160"/>
      <c r="H45" s="160"/>
      <c r="I45" s="294"/>
      <c r="J45" s="295"/>
      <c r="K45" s="160"/>
      <c r="L45" s="294"/>
      <c r="M45" s="295"/>
      <c r="N45" s="302"/>
    </row>
    <row r="46" spans="1:14" s="57" customFormat="1" x14ac:dyDescent="0.2">
      <c r="A46" s="68" t="s">
        <v>185</v>
      </c>
      <c r="B46" s="68"/>
      <c r="C46" s="308"/>
      <c r="D46" s="160"/>
      <c r="E46" s="294"/>
      <c r="F46" s="160"/>
      <c r="G46" s="160"/>
      <c r="H46" s="160"/>
      <c r="I46" s="294"/>
      <c r="J46" s="295"/>
      <c r="K46" s="160"/>
      <c r="L46" s="294"/>
      <c r="M46" s="295"/>
      <c r="N46" s="302"/>
    </row>
    <row r="47" spans="1:14" s="57" customFormat="1" x14ac:dyDescent="0.2">
      <c r="A47" s="68" t="s">
        <v>186</v>
      </c>
      <c r="B47" s="68"/>
      <c r="C47" s="308"/>
      <c r="D47" s="160"/>
      <c r="E47" s="294"/>
      <c r="F47" s="160"/>
      <c r="G47" s="160"/>
      <c r="H47" s="160"/>
      <c r="I47" s="294"/>
      <c r="J47" s="295"/>
      <c r="K47" s="160"/>
      <c r="L47" s="294"/>
      <c r="M47" s="295"/>
      <c r="N47" s="302"/>
    </row>
    <row r="48" spans="1:14" s="57" customFormat="1" x14ac:dyDescent="0.2">
      <c r="A48" s="68" t="s">
        <v>187</v>
      </c>
      <c r="B48" s="68"/>
      <c r="C48" s="308"/>
      <c r="D48" s="160"/>
      <c r="E48" s="294"/>
      <c r="F48" s="160"/>
      <c r="G48" s="160"/>
      <c r="H48" s="160"/>
      <c r="I48" s="294"/>
      <c r="J48" s="295"/>
      <c r="K48" s="160"/>
      <c r="L48" s="294"/>
      <c r="M48" s="295"/>
      <c r="N48" s="302"/>
    </row>
    <row r="49" spans="1:14" s="57" customFormat="1" x14ac:dyDescent="0.2">
      <c r="A49" s="68" t="s">
        <v>188</v>
      </c>
      <c r="B49" s="68"/>
      <c r="C49" s="308"/>
      <c r="D49" s="160"/>
      <c r="E49" s="294"/>
      <c r="F49" s="160"/>
      <c r="G49" s="160"/>
      <c r="H49" s="160"/>
      <c r="I49" s="294"/>
      <c r="J49" s="295"/>
      <c r="K49" s="160"/>
      <c r="L49" s="294"/>
      <c r="M49" s="295"/>
      <c r="N49" s="302"/>
    </row>
    <row r="50" spans="1:14" s="57" customFormat="1" x14ac:dyDescent="0.2">
      <c r="A50" s="68" t="s">
        <v>189</v>
      </c>
      <c r="B50" s="68"/>
      <c r="C50" s="308"/>
      <c r="D50" s="160"/>
      <c r="E50" s="294"/>
      <c r="F50" s="160"/>
      <c r="G50" s="160"/>
      <c r="H50" s="160"/>
      <c r="I50" s="294"/>
      <c r="J50" s="295"/>
      <c r="K50" s="160"/>
      <c r="L50" s="294"/>
      <c r="M50" s="295"/>
      <c r="N50" s="302"/>
    </row>
    <row r="51" spans="1:14" s="57" customFormat="1" x14ac:dyDescent="0.2">
      <c r="A51" s="68" t="s">
        <v>190</v>
      </c>
      <c r="B51" s="68"/>
      <c r="C51" s="308"/>
      <c r="D51" s="160"/>
      <c r="E51" s="294"/>
      <c r="F51" s="160"/>
      <c r="G51" s="160"/>
      <c r="H51" s="160"/>
      <c r="I51" s="294"/>
      <c r="J51" s="295"/>
      <c r="K51" s="160"/>
      <c r="L51" s="294"/>
      <c r="M51" s="295"/>
      <c r="N51" s="302"/>
    </row>
    <row r="52" spans="1:14" s="57" customFormat="1" x14ac:dyDescent="0.2">
      <c r="A52" s="68" t="s">
        <v>191</v>
      </c>
      <c r="B52" s="68"/>
      <c r="C52" s="308"/>
      <c r="D52" s="160"/>
      <c r="E52" s="294"/>
      <c r="F52" s="160"/>
      <c r="G52" s="160"/>
      <c r="H52" s="160"/>
      <c r="I52" s="294"/>
      <c r="J52" s="295"/>
      <c r="K52" s="160"/>
      <c r="L52" s="294"/>
      <c r="M52" s="295"/>
      <c r="N52" s="302"/>
    </row>
    <row r="53" spans="1:14" s="57" customFormat="1" x14ac:dyDescent="0.2">
      <c r="A53" s="68" t="s">
        <v>192</v>
      </c>
      <c r="B53" s="68"/>
      <c r="C53" s="308"/>
      <c r="D53" s="160"/>
      <c r="E53" s="294"/>
      <c r="F53" s="160"/>
      <c r="G53" s="160"/>
      <c r="H53" s="160"/>
      <c r="I53" s="294"/>
      <c r="J53" s="295"/>
      <c r="K53" s="160"/>
      <c r="L53" s="294"/>
      <c r="M53" s="295"/>
      <c r="N53" s="302"/>
    </row>
    <row r="54" spans="1:14" s="57" customFormat="1" x14ac:dyDescent="0.2">
      <c r="A54" s="68" t="s">
        <v>193</v>
      </c>
      <c r="B54" s="68"/>
      <c r="C54" s="308"/>
      <c r="D54" s="160"/>
      <c r="E54" s="294"/>
      <c r="F54" s="160"/>
      <c r="G54" s="160"/>
      <c r="H54" s="160"/>
      <c r="I54" s="294"/>
      <c r="J54" s="295"/>
      <c r="K54" s="160"/>
      <c r="L54" s="294"/>
      <c r="M54" s="295"/>
      <c r="N54" s="302"/>
    </row>
    <row r="55" spans="1:14" s="57" customFormat="1" x14ac:dyDescent="0.2">
      <c r="A55" s="68" t="s">
        <v>194</v>
      </c>
      <c r="B55" s="68"/>
      <c r="C55" s="308"/>
      <c r="D55" s="160"/>
      <c r="E55" s="294"/>
      <c r="F55" s="160"/>
      <c r="G55" s="160"/>
      <c r="H55" s="160"/>
      <c r="I55" s="294"/>
      <c r="J55" s="295"/>
      <c r="K55" s="160"/>
      <c r="L55" s="294"/>
      <c r="M55" s="295"/>
      <c r="N55" s="302"/>
    </row>
    <row r="56" spans="1:14" s="57" customFormat="1" ht="12.75" thickBot="1" x14ac:dyDescent="0.25">
      <c r="A56" s="68" t="s">
        <v>195</v>
      </c>
      <c r="B56" s="68"/>
      <c r="C56" s="308" t="s">
        <v>169</v>
      </c>
      <c r="D56" s="55"/>
      <c r="E56" s="289"/>
      <c r="F56" s="55"/>
      <c r="G56" s="55"/>
      <c r="H56" s="55"/>
      <c r="I56" s="289"/>
      <c r="J56" s="293"/>
      <c r="K56" s="55"/>
      <c r="L56" s="289"/>
      <c r="M56" s="298"/>
      <c r="N56" s="302"/>
    </row>
    <row r="57" spans="1:14" s="10" customFormat="1" ht="12.75" thickTop="1" x14ac:dyDescent="0.2">
      <c r="A57" s="202" t="s">
        <v>19</v>
      </c>
      <c r="B57" s="24"/>
      <c r="C57" s="309">
        <f>SUM(C29:C56)</f>
        <v>0</v>
      </c>
      <c r="D57" s="9"/>
      <c r="E57" s="9"/>
      <c r="F57" s="9"/>
      <c r="G57" s="9"/>
      <c r="H57" s="9"/>
      <c r="I57" s="9"/>
      <c r="J57" s="9"/>
      <c r="K57" s="9"/>
      <c r="L57" s="44"/>
      <c r="M57" s="44"/>
      <c r="N57" s="304"/>
    </row>
    <row r="58" spans="1:14" x14ac:dyDescent="0.2">
      <c r="A58" s="67"/>
      <c r="B58" s="12"/>
      <c r="C58" s="24"/>
      <c r="D58" s="6"/>
      <c r="E58" s="6"/>
      <c r="F58" s="6"/>
      <c r="G58" s="6"/>
      <c r="H58" s="6"/>
      <c r="I58" s="6"/>
      <c r="J58" s="6"/>
      <c r="K58" s="6"/>
      <c r="L58" s="6"/>
      <c r="M58" s="31"/>
    </row>
    <row r="59" spans="1:14" x14ac:dyDescent="0.2">
      <c r="A59" s="68" t="s">
        <v>15</v>
      </c>
      <c r="B59" s="12">
        <v>1.6500000000000001E-2</v>
      </c>
      <c r="C59" s="16">
        <f>C57*B59</f>
        <v>0</v>
      </c>
      <c r="D59" s="16"/>
      <c r="E59" s="16"/>
      <c r="F59" s="16"/>
      <c r="G59" s="16"/>
      <c r="H59" s="16"/>
      <c r="I59" s="16"/>
      <c r="J59" s="16"/>
      <c r="K59" s="16"/>
      <c r="L59" s="16"/>
      <c r="M59" s="103"/>
    </row>
    <row r="60" spans="1:14" ht="12.75" thickBot="1" x14ac:dyDescent="0.25">
      <c r="A60" s="66" t="s">
        <v>16</v>
      </c>
      <c r="B60" s="14">
        <v>7.5999999999999998E-2</v>
      </c>
      <c r="C60" s="22">
        <f>C57*B60</f>
        <v>0</v>
      </c>
      <c r="D60" s="22"/>
      <c r="E60" s="22"/>
      <c r="F60" s="22"/>
      <c r="G60" s="22"/>
      <c r="H60" s="22"/>
      <c r="I60" s="22"/>
      <c r="J60" s="22"/>
      <c r="K60" s="22"/>
      <c r="L60" s="22"/>
      <c r="M60" s="104"/>
    </row>
    <row r="61" spans="1:14" ht="12.75" thickTop="1" x14ac:dyDescent="0.2">
      <c r="A61" s="72" t="s">
        <v>20</v>
      </c>
      <c r="B61" s="17"/>
      <c r="C61" s="26">
        <f>C60+C59</f>
        <v>0</v>
      </c>
      <c r="D61" s="18"/>
      <c r="E61" s="18"/>
      <c r="F61" s="18"/>
      <c r="G61" s="18"/>
      <c r="H61" s="18"/>
      <c r="I61" s="18"/>
      <c r="J61" s="18"/>
      <c r="K61" s="18"/>
      <c r="L61" s="18"/>
      <c r="M61" s="38"/>
    </row>
    <row r="62" spans="1:14" x14ac:dyDescent="0.2">
      <c r="A62" s="73"/>
      <c r="B62" s="45"/>
      <c r="C62" s="50"/>
      <c r="D62" s="47"/>
      <c r="E62" s="47"/>
      <c r="F62" s="47"/>
      <c r="G62" s="47"/>
      <c r="H62" s="47"/>
      <c r="I62" s="47"/>
      <c r="J62" s="47"/>
      <c r="K62" s="47"/>
      <c r="L62" s="47"/>
      <c r="M62" s="47"/>
    </row>
    <row r="63" spans="1:14" x14ac:dyDescent="0.2">
      <c r="A63" s="71" t="s">
        <v>22</v>
      </c>
      <c r="B63" s="19"/>
      <c r="C63" s="39"/>
      <c r="D63" s="20"/>
      <c r="E63" s="20"/>
      <c r="F63" s="20"/>
      <c r="G63" s="20"/>
      <c r="H63" s="20"/>
      <c r="I63" s="20"/>
      <c r="J63" s="20"/>
      <c r="K63" s="20"/>
      <c r="L63" s="20"/>
      <c r="M63" s="43"/>
    </row>
    <row r="64" spans="1:14" s="57" customFormat="1" ht="12.75" thickBot="1" x14ac:dyDescent="0.25">
      <c r="A64" s="66" t="s">
        <v>23</v>
      </c>
      <c r="B64" s="53"/>
      <c r="C64" s="54"/>
      <c r="D64" s="55"/>
      <c r="E64" s="55"/>
      <c r="F64" s="55"/>
      <c r="G64" s="55"/>
      <c r="H64" s="55"/>
      <c r="I64" s="55"/>
      <c r="J64" s="55"/>
      <c r="K64" s="55"/>
      <c r="L64" s="55"/>
      <c r="M64" s="56"/>
      <c r="N64" s="302"/>
    </row>
    <row r="65" spans="1:15" ht="12.75" thickTop="1" x14ac:dyDescent="0.2">
      <c r="A65" s="67" t="s">
        <v>19</v>
      </c>
      <c r="B65" s="12"/>
      <c r="C65" s="24">
        <v>0</v>
      </c>
      <c r="D65" s="6"/>
      <c r="E65" s="6"/>
      <c r="F65" s="6"/>
      <c r="G65" s="6"/>
      <c r="H65" s="6"/>
      <c r="I65" s="6"/>
      <c r="J65" s="6"/>
      <c r="K65" s="6"/>
      <c r="L65" s="6"/>
      <c r="M65" s="31"/>
    </row>
    <row r="66" spans="1:15" x14ac:dyDescent="0.2">
      <c r="A66" s="74"/>
      <c r="B66" s="12"/>
      <c r="C66" s="24"/>
      <c r="D66" s="6"/>
      <c r="E66" s="6"/>
      <c r="F66" s="6"/>
      <c r="G66" s="6"/>
      <c r="H66" s="6"/>
      <c r="I66" s="6"/>
      <c r="J66" s="6"/>
      <c r="K66" s="6"/>
      <c r="L66" s="6"/>
      <c r="M66" s="31"/>
    </row>
    <row r="67" spans="1:15" x14ac:dyDescent="0.2">
      <c r="A67" s="68" t="s">
        <v>15</v>
      </c>
      <c r="B67" s="12">
        <v>1.6500000000000001E-2</v>
      </c>
      <c r="C67" s="16">
        <v>0</v>
      </c>
      <c r="D67" s="6"/>
      <c r="E67" s="6"/>
      <c r="F67" s="6"/>
      <c r="G67" s="6"/>
      <c r="H67" s="6"/>
      <c r="I67" s="6"/>
      <c r="J67" s="6"/>
      <c r="K67" s="6"/>
      <c r="L67" s="6"/>
      <c r="M67" s="31"/>
    </row>
    <row r="68" spans="1:15" ht="12.75" thickBot="1" x14ac:dyDescent="0.25">
      <c r="A68" s="66" t="s">
        <v>16</v>
      </c>
      <c r="B68" s="14">
        <v>7.5999999999999998E-2</v>
      </c>
      <c r="C68" s="22">
        <v>0</v>
      </c>
      <c r="D68" s="7"/>
      <c r="E68" s="7"/>
      <c r="F68" s="7"/>
      <c r="G68" s="7"/>
      <c r="H68" s="7"/>
      <c r="I68" s="7"/>
      <c r="J68" s="7"/>
      <c r="K68" s="7"/>
      <c r="L68" s="7"/>
      <c r="M68" s="32"/>
    </row>
    <row r="69" spans="1:15" ht="12.75" thickTop="1" x14ac:dyDescent="0.2">
      <c r="A69" s="72" t="s">
        <v>22</v>
      </c>
      <c r="B69" s="17"/>
      <c r="C69" s="26">
        <f>C67+C68</f>
        <v>0</v>
      </c>
      <c r="D69" s="18"/>
      <c r="E69" s="18"/>
      <c r="F69" s="18"/>
      <c r="G69" s="18"/>
      <c r="H69" s="18"/>
      <c r="I69" s="18"/>
      <c r="J69" s="18"/>
      <c r="K69" s="18"/>
      <c r="L69" s="18"/>
      <c r="M69" s="38"/>
    </row>
    <row r="70" spans="1:15" x14ac:dyDescent="0.2">
      <c r="A70" s="70"/>
      <c r="B70" s="45"/>
      <c r="C70" s="46"/>
      <c r="D70" s="47"/>
      <c r="E70" s="47"/>
      <c r="F70" s="47"/>
      <c r="G70" s="47"/>
      <c r="H70" s="47"/>
      <c r="I70" s="47"/>
      <c r="J70" s="47"/>
      <c r="K70" s="47"/>
      <c r="L70" s="47"/>
      <c r="M70" s="47"/>
    </row>
    <row r="71" spans="1:15" x14ac:dyDescent="0.2">
      <c r="A71" s="75" t="s">
        <v>24</v>
      </c>
      <c r="B71" s="19"/>
      <c r="C71" s="23"/>
      <c r="D71" s="20"/>
      <c r="E71" s="20"/>
      <c r="F71" s="20"/>
      <c r="G71" s="20"/>
      <c r="H71" s="20"/>
      <c r="I71" s="20"/>
      <c r="J71" s="20"/>
      <c r="K71" s="20"/>
      <c r="L71" s="20"/>
      <c r="M71" s="43"/>
    </row>
    <row r="72" spans="1:15" s="57" customFormat="1" x14ac:dyDescent="0.2">
      <c r="A72" s="68" t="s">
        <v>25</v>
      </c>
      <c r="B72" s="52"/>
      <c r="C72" s="52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302"/>
    </row>
    <row r="73" spans="1:15" s="57" customFormat="1" ht="12.75" thickBot="1" x14ac:dyDescent="0.25">
      <c r="A73" s="66" t="s">
        <v>164</v>
      </c>
      <c r="B73" s="14"/>
      <c r="C73" s="40"/>
      <c r="D73" s="55"/>
      <c r="E73" s="55"/>
      <c r="F73" s="55"/>
      <c r="G73" s="55"/>
      <c r="H73" s="55"/>
      <c r="I73" s="55"/>
      <c r="J73" s="55"/>
      <c r="K73" s="55"/>
      <c r="L73" s="55"/>
      <c r="M73" s="56"/>
      <c r="N73" s="302"/>
    </row>
    <row r="74" spans="1:15" ht="12.75" thickTop="1" x14ac:dyDescent="0.2">
      <c r="A74" s="67" t="s">
        <v>19</v>
      </c>
      <c r="B74" s="12"/>
      <c r="C74" s="27">
        <f>SUM(C72:C73)</f>
        <v>0</v>
      </c>
      <c r="D74" s="6"/>
      <c r="E74" s="6"/>
      <c r="F74" s="6"/>
      <c r="G74" s="6"/>
      <c r="H74" s="6"/>
      <c r="I74" s="6"/>
      <c r="J74" s="6"/>
      <c r="K74" s="6"/>
      <c r="L74" s="6"/>
      <c r="M74" s="31"/>
    </row>
    <row r="75" spans="1:15" x14ac:dyDescent="0.2">
      <c r="A75" s="68"/>
      <c r="B75" s="12"/>
      <c r="C75" s="25"/>
      <c r="D75" s="6"/>
      <c r="E75" s="6"/>
      <c r="F75" s="6"/>
      <c r="G75" s="6"/>
      <c r="H75" s="6"/>
      <c r="I75" s="6"/>
      <c r="J75" s="6"/>
      <c r="K75" s="6"/>
      <c r="L75" s="6"/>
      <c r="M75" s="31"/>
    </row>
    <row r="76" spans="1:15" x14ac:dyDescent="0.2">
      <c r="A76" s="68" t="s">
        <v>15</v>
      </c>
      <c r="B76" s="12">
        <v>6.4999999999999997E-3</v>
      </c>
      <c r="C76" s="28">
        <f>C74*B76</f>
        <v>0</v>
      </c>
      <c r="D76" s="6"/>
      <c r="E76" s="6"/>
      <c r="F76" s="6"/>
      <c r="G76" s="6"/>
      <c r="H76" s="6"/>
      <c r="I76" s="6"/>
      <c r="J76" s="6"/>
      <c r="K76" s="6"/>
      <c r="L76" s="6"/>
      <c r="M76" s="31"/>
      <c r="O76" s="223"/>
    </row>
    <row r="77" spans="1:15" ht="12.75" thickBot="1" x14ac:dyDescent="0.25">
      <c r="A77" s="66" t="s">
        <v>16</v>
      </c>
      <c r="B77" s="14">
        <v>0.04</v>
      </c>
      <c r="C77" s="40">
        <f>C74*B77</f>
        <v>0</v>
      </c>
      <c r="D77" s="7"/>
      <c r="E77" s="7"/>
      <c r="F77" s="7"/>
      <c r="G77" s="7"/>
      <c r="H77" s="7"/>
      <c r="I77" s="7"/>
      <c r="J77" s="7"/>
      <c r="K77" s="7"/>
      <c r="L77" s="7"/>
      <c r="M77" s="32"/>
    </row>
    <row r="78" spans="1:15" ht="12.75" thickTop="1" x14ac:dyDescent="0.2">
      <c r="A78" s="76" t="s">
        <v>24</v>
      </c>
      <c r="B78" s="17"/>
      <c r="C78" s="26">
        <f>C76+C77</f>
        <v>0</v>
      </c>
      <c r="D78" s="18"/>
      <c r="E78" s="18"/>
      <c r="F78" s="18"/>
      <c r="G78" s="18"/>
      <c r="H78" s="18"/>
      <c r="I78" s="18"/>
      <c r="J78" s="18"/>
      <c r="K78" s="18"/>
      <c r="L78" s="18"/>
      <c r="M78" s="38"/>
    </row>
    <row r="79" spans="1:15" x14ac:dyDescent="0.2">
      <c r="A79" s="77"/>
      <c r="B79" s="45"/>
      <c r="C79" s="46"/>
      <c r="D79" s="47"/>
      <c r="E79" s="47"/>
      <c r="F79" s="47"/>
      <c r="G79" s="47"/>
      <c r="H79" s="47"/>
      <c r="I79" s="47"/>
      <c r="J79" s="47"/>
      <c r="K79" s="47"/>
      <c r="L79" s="47"/>
      <c r="M79" s="47"/>
    </row>
    <row r="80" spans="1:15" x14ac:dyDescent="0.2">
      <c r="A80" s="65" t="s">
        <v>161</v>
      </c>
      <c r="B80" s="19"/>
      <c r="C80" s="23"/>
      <c r="D80" s="21"/>
      <c r="E80" s="21"/>
      <c r="F80" s="21"/>
      <c r="G80" s="21"/>
      <c r="H80" s="21"/>
      <c r="I80" s="21"/>
      <c r="J80" s="21"/>
      <c r="K80" s="21"/>
      <c r="L80" s="21"/>
      <c r="M80" s="37"/>
    </row>
    <row r="81" spans="1:16" s="57" customFormat="1" x14ac:dyDescent="0.2">
      <c r="A81" s="68" t="s">
        <v>60</v>
      </c>
      <c r="B81" s="159"/>
      <c r="C81" s="160"/>
      <c r="D81" s="160"/>
      <c r="E81" s="160"/>
      <c r="F81" s="160"/>
      <c r="G81" s="160"/>
      <c r="H81" s="160"/>
      <c r="I81" s="160"/>
      <c r="J81" s="160"/>
      <c r="K81" s="160"/>
      <c r="L81" s="160"/>
      <c r="M81" s="160"/>
      <c r="N81" s="302"/>
    </row>
    <row r="82" spans="1:16" s="57" customFormat="1" ht="12.75" thickBot="1" x14ac:dyDescent="0.25">
      <c r="A82" s="66"/>
      <c r="B82" s="53"/>
      <c r="C82" s="54"/>
      <c r="D82" s="55"/>
      <c r="E82" s="55"/>
      <c r="F82" s="55"/>
      <c r="G82" s="55"/>
      <c r="H82" s="55"/>
      <c r="I82" s="55"/>
      <c r="J82" s="55"/>
      <c r="K82" s="55"/>
      <c r="L82" s="55"/>
      <c r="M82" s="56"/>
      <c r="N82" s="302"/>
    </row>
    <row r="83" spans="1:16" ht="12.75" thickTop="1" x14ac:dyDescent="0.2">
      <c r="A83" s="67" t="s">
        <v>19</v>
      </c>
      <c r="B83" s="12"/>
      <c r="C83" s="16">
        <f>SUM(C81:C82)</f>
        <v>0</v>
      </c>
      <c r="D83" s="6"/>
      <c r="E83" s="6"/>
      <c r="F83" s="6"/>
      <c r="G83" s="6"/>
      <c r="H83" s="6"/>
      <c r="I83" s="6"/>
      <c r="J83" s="6"/>
      <c r="K83" s="6"/>
      <c r="L83" s="6"/>
      <c r="M83" s="31"/>
    </row>
    <row r="84" spans="1:16" x14ac:dyDescent="0.2">
      <c r="A84" s="68"/>
      <c r="B84" s="12"/>
      <c r="C84" s="25"/>
      <c r="D84" s="6"/>
      <c r="E84" s="6"/>
      <c r="F84" s="6"/>
      <c r="G84" s="6"/>
      <c r="H84" s="6"/>
      <c r="I84" s="6"/>
      <c r="J84" s="6"/>
      <c r="K84" s="6"/>
      <c r="L84" s="6"/>
      <c r="M84" s="31"/>
      <c r="P84" s="300"/>
    </row>
    <row r="85" spans="1:16" x14ac:dyDescent="0.2">
      <c r="A85" s="68" t="s">
        <v>15</v>
      </c>
      <c r="B85" s="12">
        <v>1.6500000000000001E-2</v>
      </c>
      <c r="C85" s="16">
        <f>C83*B85</f>
        <v>0</v>
      </c>
      <c r="D85" s="6"/>
      <c r="E85" s="6"/>
      <c r="F85" s="6"/>
      <c r="G85" s="6"/>
      <c r="H85" s="6"/>
      <c r="I85" s="6"/>
      <c r="J85" s="6"/>
      <c r="K85" s="6"/>
      <c r="L85" s="6"/>
      <c r="M85" s="31"/>
    </row>
    <row r="86" spans="1:16" ht="12.75" thickBot="1" x14ac:dyDescent="0.25">
      <c r="A86" s="66" t="s">
        <v>16</v>
      </c>
      <c r="B86" s="14">
        <v>7.5999999999999998E-2</v>
      </c>
      <c r="C86" s="22">
        <f>C83*B86</f>
        <v>0</v>
      </c>
      <c r="D86" s="7"/>
      <c r="E86" s="7"/>
      <c r="F86" s="7"/>
      <c r="G86" s="7"/>
      <c r="H86" s="7"/>
      <c r="I86" s="7"/>
      <c r="J86" s="7"/>
      <c r="K86" s="7"/>
      <c r="L86" s="7"/>
      <c r="M86" s="32"/>
    </row>
    <row r="87" spans="1:16" ht="12.75" thickTop="1" x14ac:dyDescent="0.2">
      <c r="A87" s="69" t="s">
        <v>18</v>
      </c>
      <c r="B87" s="17"/>
      <c r="C87" s="26">
        <f>C85+C86</f>
        <v>0</v>
      </c>
      <c r="D87" s="161"/>
      <c r="E87" s="161"/>
      <c r="F87" s="161"/>
      <c r="G87" s="161"/>
      <c r="H87" s="161"/>
      <c r="I87" s="18"/>
      <c r="J87" s="18"/>
      <c r="K87" s="18"/>
      <c r="L87" s="18"/>
      <c r="M87" s="38"/>
      <c r="P87" s="223"/>
    </row>
    <row r="88" spans="1:16" x14ac:dyDescent="0.2">
      <c r="A88" s="77"/>
      <c r="B88" s="45"/>
      <c r="C88" s="46"/>
      <c r="D88" s="47"/>
      <c r="E88" s="47"/>
      <c r="F88" s="47"/>
      <c r="G88" s="47"/>
      <c r="H88" s="47"/>
      <c r="I88" s="47"/>
      <c r="J88" s="47"/>
      <c r="K88" s="47"/>
      <c r="L88" s="47"/>
      <c r="M88" s="47"/>
      <c r="P88" s="223"/>
    </row>
    <row r="89" spans="1:16" x14ac:dyDescent="0.2">
      <c r="A89" s="65" t="s">
        <v>160</v>
      </c>
      <c r="B89" s="19"/>
      <c r="C89" s="23"/>
      <c r="D89" s="21"/>
      <c r="E89" s="21"/>
      <c r="F89" s="21"/>
      <c r="G89" s="21"/>
      <c r="H89" s="21"/>
      <c r="I89" s="21"/>
      <c r="J89" s="21"/>
      <c r="K89" s="21"/>
      <c r="L89" s="21"/>
      <c r="M89" s="37"/>
      <c r="P89" s="223"/>
    </row>
    <row r="90" spans="1:16" s="57" customFormat="1" x14ac:dyDescent="0.2">
      <c r="A90" s="68" t="s">
        <v>60</v>
      </c>
      <c r="B90" s="159"/>
      <c r="C90" s="160"/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302"/>
    </row>
    <row r="91" spans="1:16" s="57" customFormat="1" ht="12.75" thickBot="1" x14ac:dyDescent="0.25">
      <c r="A91" s="66"/>
      <c r="B91" s="53"/>
      <c r="C91" s="54"/>
      <c r="D91" s="55"/>
      <c r="E91" s="55"/>
      <c r="F91" s="55"/>
      <c r="G91" s="55"/>
      <c r="H91" s="55"/>
      <c r="I91" s="55"/>
      <c r="J91" s="55"/>
      <c r="K91" s="55"/>
      <c r="L91" s="55"/>
      <c r="M91" s="56"/>
      <c r="N91" s="302"/>
    </row>
    <row r="92" spans="1:16" ht="12.75" thickTop="1" x14ac:dyDescent="0.2">
      <c r="A92" s="67" t="s">
        <v>19</v>
      </c>
      <c r="B92" s="12"/>
      <c r="C92" s="16">
        <f>SUM(C90:C91)</f>
        <v>0</v>
      </c>
      <c r="D92" s="6"/>
      <c r="E92" s="6"/>
      <c r="F92" s="6"/>
      <c r="G92" s="6"/>
      <c r="H92" s="6"/>
      <c r="I92" s="6"/>
      <c r="J92" s="6"/>
      <c r="K92" s="6"/>
      <c r="L92" s="6"/>
      <c r="M92" s="31"/>
    </row>
    <row r="93" spans="1:16" x14ac:dyDescent="0.2">
      <c r="A93" s="68"/>
      <c r="B93" s="12"/>
      <c r="C93" s="25"/>
      <c r="D93" s="6"/>
      <c r="E93" s="6"/>
      <c r="F93" s="6"/>
      <c r="G93" s="6"/>
      <c r="H93" s="6"/>
      <c r="I93" s="6"/>
      <c r="J93" s="6"/>
      <c r="K93" s="6"/>
      <c r="L93" s="6"/>
      <c r="M93" s="31"/>
    </row>
    <row r="94" spans="1:16" x14ac:dyDescent="0.2">
      <c r="A94" s="68" t="s">
        <v>15</v>
      </c>
      <c r="B94" s="12">
        <v>1.6500000000000001E-2</v>
      </c>
      <c r="C94" s="16">
        <f>C92*B94</f>
        <v>0</v>
      </c>
      <c r="D94" s="6"/>
      <c r="E94" s="6"/>
      <c r="F94" s="6"/>
      <c r="G94" s="6"/>
      <c r="H94" s="6"/>
      <c r="I94" s="6"/>
      <c r="J94" s="6"/>
      <c r="K94" s="6"/>
      <c r="L94" s="6"/>
      <c r="M94" s="31"/>
    </row>
    <row r="95" spans="1:16" ht="12.75" thickBot="1" x14ac:dyDescent="0.25">
      <c r="A95" s="66" t="s">
        <v>16</v>
      </c>
      <c r="B95" s="14">
        <v>7.5999999999999998E-2</v>
      </c>
      <c r="C95" s="22">
        <f>C92*B95</f>
        <v>0</v>
      </c>
      <c r="D95" s="7"/>
      <c r="E95" s="7"/>
      <c r="F95" s="7"/>
      <c r="G95" s="7"/>
      <c r="H95" s="7"/>
      <c r="I95" s="7"/>
      <c r="J95" s="7"/>
      <c r="K95" s="7"/>
      <c r="L95" s="7"/>
      <c r="M95" s="32"/>
    </row>
    <row r="96" spans="1:16" ht="12.75" thickTop="1" x14ac:dyDescent="0.2">
      <c r="A96" s="69" t="s">
        <v>18</v>
      </c>
      <c r="B96" s="17"/>
      <c r="C96" s="26">
        <f>SUM(C94:C95)</f>
        <v>0</v>
      </c>
      <c r="D96" s="161"/>
      <c r="E96" s="161"/>
      <c r="F96" s="161"/>
      <c r="G96" s="161"/>
      <c r="H96" s="161"/>
      <c r="I96" s="18"/>
      <c r="J96" s="18"/>
      <c r="K96" s="18"/>
      <c r="L96" s="18"/>
      <c r="M96" s="38"/>
    </row>
    <row r="97" spans="1:19" x14ac:dyDescent="0.2">
      <c r="A97" s="141"/>
      <c r="B97" s="156"/>
      <c r="C97" s="157"/>
      <c r="D97" s="158"/>
      <c r="E97" s="158"/>
      <c r="F97" s="158"/>
      <c r="G97" s="158"/>
      <c r="H97" s="158"/>
      <c r="I97" s="158"/>
      <c r="J97" s="158"/>
      <c r="K97" s="158"/>
      <c r="L97" s="158"/>
      <c r="M97" s="158"/>
    </row>
    <row r="98" spans="1:19" s="131" customFormat="1" x14ac:dyDescent="0.2">
      <c r="A98" s="127" t="s">
        <v>26</v>
      </c>
      <c r="B98" s="129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30"/>
      <c r="N98" s="305"/>
    </row>
    <row r="99" spans="1:19" x14ac:dyDescent="0.2">
      <c r="A99" s="61"/>
      <c r="B99" s="12"/>
      <c r="C99" s="16"/>
      <c r="D99" s="6"/>
      <c r="E99" s="6"/>
      <c r="F99" s="6"/>
      <c r="G99" s="6"/>
      <c r="H99" s="6"/>
      <c r="I99" s="6"/>
      <c r="J99" s="6"/>
      <c r="K99" s="6"/>
      <c r="L99" s="6"/>
      <c r="M99" s="31"/>
    </row>
    <row r="100" spans="1:19" x14ac:dyDescent="0.2">
      <c r="A100" s="68" t="s">
        <v>15</v>
      </c>
      <c r="B100" s="12"/>
      <c r="C100" s="6">
        <f>C14+C76</f>
        <v>0</v>
      </c>
      <c r="D100" s="6"/>
      <c r="E100" s="6"/>
      <c r="F100" s="6"/>
      <c r="G100" s="6"/>
      <c r="H100" s="6"/>
      <c r="I100" s="6"/>
      <c r="J100" s="6"/>
      <c r="K100" s="6"/>
      <c r="L100" s="6"/>
      <c r="M100" s="31"/>
      <c r="O100" s="223"/>
    </row>
    <row r="101" spans="1:19" ht="12.75" thickBot="1" x14ac:dyDescent="0.25">
      <c r="A101" s="66" t="s">
        <v>16</v>
      </c>
      <c r="B101" s="14"/>
      <c r="C101" s="7">
        <f>C15+C77</f>
        <v>0</v>
      </c>
      <c r="D101" s="7"/>
      <c r="E101" s="7"/>
      <c r="F101" s="7"/>
      <c r="G101" s="7"/>
      <c r="H101" s="7"/>
      <c r="I101" s="7"/>
      <c r="J101" s="7"/>
      <c r="K101" s="7"/>
      <c r="L101" s="7"/>
      <c r="M101" s="32"/>
      <c r="O101" s="223"/>
    </row>
    <row r="102" spans="1:19" ht="12.75" thickTop="1" x14ac:dyDescent="0.2">
      <c r="A102" s="78" t="s">
        <v>17</v>
      </c>
      <c r="B102" s="12"/>
      <c r="C102" s="24">
        <f>C101+C100</f>
        <v>0</v>
      </c>
      <c r="D102" s="6"/>
      <c r="E102" s="6"/>
      <c r="F102" s="6"/>
      <c r="G102" s="6"/>
      <c r="H102" s="6"/>
      <c r="I102" s="6"/>
      <c r="J102" s="6"/>
      <c r="K102" s="6"/>
      <c r="L102" s="6"/>
      <c r="M102" s="31"/>
    </row>
    <row r="103" spans="1:19" x14ac:dyDescent="0.2">
      <c r="A103" s="61"/>
      <c r="B103" s="12"/>
      <c r="C103" s="16"/>
      <c r="D103" s="6"/>
      <c r="E103" s="6"/>
      <c r="F103" s="6"/>
      <c r="G103" s="6"/>
      <c r="H103" s="6"/>
      <c r="I103" s="6"/>
      <c r="J103" s="6"/>
      <c r="K103" s="6"/>
      <c r="L103" s="6"/>
      <c r="M103" s="31"/>
      <c r="Q103" s="290"/>
    </row>
    <row r="104" spans="1:19" s="113" customFormat="1" x14ac:dyDescent="0.2">
      <c r="A104" s="121" t="s">
        <v>15</v>
      </c>
      <c r="B104" s="110"/>
      <c r="C104" s="122">
        <f>(-C59-C67)+C94</f>
        <v>0</v>
      </c>
      <c r="D104" s="122"/>
      <c r="E104" s="122"/>
      <c r="F104" s="122"/>
      <c r="G104" s="122"/>
      <c r="H104" s="122"/>
      <c r="I104" s="122"/>
      <c r="J104" s="122"/>
      <c r="K104" s="122"/>
      <c r="L104" s="122"/>
      <c r="M104" s="123"/>
      <c r="N104" s="290"/>
      <c r="S104" s="2"/>
    </row>
    <row r="105" spans="1:19" s="113" customFormat="1" ht="12.75" thickBot="1" x14ac:dyDescent="0.25">
      <c r="A105" s="124" t="s">
        <v>16</v>
      </c>
      <c r="B105" s="115"/>
      <c r="C105" s="125">
        <f>(-C60-C68)+C95</f>
        <v>0</v>
      </c>
      <c r="D105" s="125"/>
      <c r="E105" s="125"/>
      <c r="F105" s="125"/>
      <c r="G105" s="125"/>
      <c r="H105" s="125"/>
      <c r="I105" s="125"/>
      <c r="J105" s="125"/>
      <c r="K105" s="125"/>
      <c r="L105" s="125"/>
      <c r="M105" s="126"/>
      <c r="N105" s="290"/>
    </row>
    <row r="106" spans="1:19" s="113" customFormat="1" ht="12.75" thickTop="1" x14ac:dyDescent="0.2">
      <c r="A106" s="118" t="s">
        <v>27</v>
      </c>
      <c r="B106" s="110"/>
      <c r="C106" s="119">
        <f>C104+C105</f>
        <v>0</v>
      </c>
      <c r="D106" s="122"/>
      <c r="E106" s="122"/>
      <c r="F106" s="122"/>
      <c r="G106" s="122"/>
      <c r="H106" s="122"/>
      <c r="I106" s="122"/>
      <c r="J106" s="122"/>
      <c r="K106" s="122"/>
      <c r="L106" s="122"/>
      <c r="M106" s="123"/>
      <c r="N106" s="290"/>
    </row>
    <row r="107" spans="1:19" s="113" customFormat="1" x14ac:dyDescent="0.2">
      <c r="A107" s="109"/>
      <c r="B107" s="110"/>
      <c r="C107" s="111"/>
      <c r="D107" s="122"/>
      <c r="E107" s="122"/>
      <c r="F107" s="122"/>
      <c r="G107" s="122"/>
      <c r="H107" s="122"/>
      <c r="I107" s="122"/>
      <c r="J107" s="122"/>
      <c r="K107" s="122"/>
      <c r="L107" s="122"/>
      <c r="M107" s="123"/>
      <c r="N107" s="290"/>
    </row>
    <row r="108" spans="1:19" s="113" customFormat="1" x14ac:dyDescent="0.2">
      <c r="A108" s="121" t="s">
        <v>15</v>
      </c>
      <c r="B108" s="110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3"/>
      <c r="N108" s="290"/>
    </row>
    <row r="109" spans="1:19" s="113" customFormat="1" ht="12.75" thickBot="1" x14ac:dyDescent="0.25">
      <c r="A109" s="124" t="s">
        <v>16</v>
      </c>
      <c r="B109" s="11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6"/>
      <c r="N109" s="290"/>
    </row>
    <row r="110" spans="1:19" ht="12.75" thickTop="1" x14ac:dyDescent="0.2"/>
    <row r="111" spans="1:19" s="113" customFormat="1" x14ac:dyDescent="0.2">
      <c r="A111" s="280" t="s">
        <v>139</v>
      </c>
      <c r="B111" s="281"/>
      <c r="C111" s="282">
        <v>0</v>
      </c>
      <c r="D111" s="283"/>
      <c r="E111" s="283"/>
      <c r="F111" s="283"/>
      <c r="G111" s="283"/>
      <c r="H111" s="283"/>
      <c r="I111" s="283"/>
      <c r="J111" s="283"/>
      <c r="K111" s="283"/>
      <c r="L111" s="283"/>
      <c r="M111" s="284"/>
      <c r="N111" s="290"/>
    </row>
    <row r="112" spans="1:19" x14ac:dyDescent="0.2">
      <c r="A112" s="61"/>
      <c r="B112" s="12"/>
      <c r="C112" s="16"/>
      <c r="D112" s="6"/>
      <c r="E112" s="6"/>
      <c r="F112" s="6"/>
      <c r="G112" s="6"/>
      <c r="H112" s="6"/>
      <c r="I112" s="6"/>
      <c r="J112" s="6"/>
      <c r="K112" s="6"/>
      <c r="L112" s="6"/>
      <c r="M112" s="31"/>
    </row>
    <row r="113" spans="1:21" x14ac:dyDescent="0.2">
      <c r="A113" s="68" t="s">
        <v>15</v>
      </c>
      <c r="B113" s="12"/>
      <c r="C113" s="6">
        <f>C100+C104+C108</f>
        <v>0</v>
      </c>
      <c r="D113" s="6"/>
      <c r="E113" s="6"/>
      <c r="F113" s="6"/>
      <c r="G113" s="6"/>
      <c r="H113" s="6"/>
      <c r="I113" s="6"/>
      <c r="J113" s="6"/>
      <c r="K113" s="6"/>
      <c r="L113" s="6"/>
      <c r="M113" s="31"/>
    </row>
    <row r="114" spans="1:21" ht="12.75" thickBot="1" x14ac:dyDescent="0.25">
      <c r="A114" s="66" t="s">
        <v>16</v>
      </c>
      <c r="B114" s="14"/>
      <c r="C114" s="7">
        <f>C101+C105+C109</f>
        <v>0</v>
      </c>
      <c r="D114" s="7"/>
      <c r="E114" s="7"/>
      <c r="F114" s="7"/>
      <c r="G114" s="7"/>
      <c r="H114" s="7"/>
      <c r="I114" s="7"/>
      <c r="J114" s="7"/>
      <c r="K114" s="7"/>
      <c r="L114" s="7"/>
      <c r="M114" s="32"/>
    </row>
    <row r="115" spans="1:21" ht="15.75" thickTop="1" x14ac:dyDescent="0.25">
      <c r="A115" s="79" t="s">
        <v>28</v>
      </c>
      <c r="B115" s="17"/>
      <c r="C115" s="26">
        <f>C114+C113</f>
        <v>0</v>
      </c>
      <c r="D115" s="161"/>
      <c r="E115" s="161"/>
      <c r="F115" s="161"/>
      <c r="G115" s="161"/>
      <c r="H115" s="161"/>
      <c r="I115" s="161"/>
      <c r="J115" s="161"/>
      <c r="K115" s="161"/>
      <c r="L115" s="161"/>
      <c r="M115" s="204"/>
      <c r="U115" s="301"/>
    </row>
    <row r="117" spans="1:21" s="113" customFormat="1" x14ac:dyDescent="0.2">
      <c r="A117" s="280" t="s">
        <v>63</v>
      </c>
      <c r="B117" s="281"/>
      <c r="C117" s="282"/>
      <c r="D117" s="283"/>
      <c r="E117" s="283"/>
      <c r="F117" s="283"/>
      <c r="G117" s="283"/>
      <c r="H117" s="283"/>
      <c r="I117" s="283"/>
      <c r="J117" s="283"/>
      <c r="K117" s="283"/>
      <c r="L117" s="283"/>
      <c r="M117" s="284"/>
      <c r="N117" s="290"/>
    </row>
    <row r="118" spans="1:21" x14ac:dyDescent="0.2">
      <c r="A118" s="61"/>
      <c r="B118" s="12"/>
      <c r="C118" s="16"/>
      <c r="D118" s="6"/>
      <c r="E118" s="6"/>
      <c r="F118" s="6"/>
      <c r="G118" s="6"/>
      <c r="H118" s="6"/>
      <c r="I118" s="6"/>
      <c r="J118" s="6"/>
      <c r="K118" s="6"/>
      <c r="L118" s="6"/>
      <c r="M118" s="31"/>
    </row>
    <row r="119" spans="1:21" x14ac:dyDescent="0.2">
      <c r="A119" s="68" t="s">
        <v>162</v>
      </c>
      <c r="B119" s="12"/>
      <c r="C119" s="6">
        <f>(((C9-C81)*$B$14)+C104+C108)+C76</f>
        <v>0</v>
      </c>
      <c r="D119" s="6"/>
      <c r="E119" s="6"/>
      <c r="F119" s="6"/>
      <c r="G119" s="6"/>
      <c r="H119" s="6"/>
      <c r="I119" s="6"/>
      <c r="J119" s="6"/>
      <c r="K119" s="6"/>
      <c r="L119" s="6"/>
      <c r="M119" s="31"/>
      <c r="O119" s="290"/>
      <c r="Q119" s="223"/>
    </row>
    <row r="120" spans="1:21" ht="12.75" thickBot="1" x14ac:dyDescent="0.25">
      <c r="A120" s="66" t="s">
        <v>163</v>
      </c>
      <c r="B120" s="14"/>
      <c r="C120" s="7">
        <f>(((C9-C81)*$B$15)+C105+C109)+C77</f>
        <v>0</v>
      </c>
      <c r="D120" s="7"/>
      <c r="E120" s="7"/>
      <c r="F120" s="7"/>
      <c r="G120" s="7"/>
      <c r="H120" s="7"/>
      <c r="I120" s="7"/>
      <c r="J120" s="7"/>
      <c r="K120" s="7"/>
      <c r="L120" s="7"/>
      <c r="M120" s="32"/>
      <c r="O120" s="290"/>
      <c r="Q120" s="223"/>
    </row>
    <row r="121" spans="1:21" ht="12.75" thickTop="1" x14ac:dyDescent="0.2">
      <c r="A121" s="79" t="s">
        <v>28</v>
      </c>
      <c r="B121" s="17"/>
      <c r="C121" s="26">
        <f>C120+C119</f>
        <v>0</v>
      </c>
      <c r="D121" s="161"/>
      <c r="E121" s="161"/>
      <c r="F121" s="161"/>
      <c r="G121" s="161"/>
      <c r="H121" s="161"/>
      <c r="I121" s="161"/>
      <c r="J121" s="161"/>
      <c r="K121" s="161"/>
      <c r="L121" s="161"/>
      <c r="M121" s="204"/>
      <c r="O121" s="300"/>
    </row>
    <row r="123" spans="1:21" x14ac:dyDescent="0.2">
      <c r="C123" s="310"/>
    </row>
    <row r="124" spans="1:21" x14ac:dyDescent="0.2">
      <c r="C124" s="310"/>
      <c r="E124" s="11" t="e">
        <f>D119+E119+#REF!+#REF!</f>
        <v>#REF!</v>
      </c>
      <c r="O124" s="290"/>
    </row>
    <row r="125" spans="1:21" x14ac:dyDescent="0.2">
      <c r="C125" s="310"/>
      <c r="E125" s="11">
        <v>82382.990000000005</v>
      </c>
      <c r="O125" s="290"/>
    </row>
    <row r="126" spans="1:21" x14ac:dyDescent="0.2">
      <c r="C126" s="310"/>
      <c r="E126" s="11" t="e">
        <f>E124-E125</f>
        <v>#REF!</v>
      </c>
    </row>
    <row r="127" spans="1:21" x14ac:dyDescent="0.2">
      <c r="C127" s="310"/>
    </row>
    <row r="128" spans="1:21" x14ac:dyDescent="0.2">
      <c r="C128" s="310"/>
      <c r="E128" s="11" t="e">
        <f>D120+E120+#REF!+#REF!</f>
        <v>#REF!</v>
      </c>
    </row>
    <row r="129" spans="2:18" x14ac:dyDescent="0.2">
      <c r="C129" s="310"/>
      <c r="E129" s="11">
        <v>380445.58</v>
      </c>
    </row>
    <row r="130" spans="2:18" x14ac:dyDescent="0.2">
      <c r="C130" s="310"/>
      <c r="E130" s="11" t="e">
        <f>E128-E129</f>
        <v>#REF!</v>
      </c>
    </row>
    <row r="131" spans="2:18" x14ac:dyDescent="0.2">
      <c r="C131" s="310"/>
    </row>
    <row r="132" spans="2:18" x14ac:dyDescent="0.2">
      <c r="C132" s="310"/>
    </row>
    <row r="133" spans="2:18" x14ac:dyDescent="0.2">
      <c r="B133" s="168"/>
      <c r="C133" s="311"/>
    </row>
    <row r="134" spans="2:18" x14ac:dyDescent="0.2">
      <c r="C134" s="310"/>
      <c r="O134" s="290"/>
      <c r="Q134" s="290"/>
      <c r="R134" s="300"/>
    </row>
    <row r="135" spans="2:18" x14ac:dyDescent="0.2">
      <c r="C135" s="310"/>
      <c r="O135" s="290"/>
      <c r="Q135" s="290"/>
      <c r="R135" s="300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6270-CFEE-43C6-B4C4-17094C95E12A}">
  <sheetPr>
    <tabColor rgb="FFFFFF00"/>
  </sheetPr>
  <dimension ref="A1:CZ131"/>
  <sheetViews>
    <sheetView topLeftCell="A26" zoomScaleNormal="100" workbookViewId="0">
      <selection activeCell="C5" sqref="C5"/>
    </sheetView>
  </sheetViews>
  <sheetFormatPr defaultColWidth="9.140625" defaultRowHeight="12" x14ac:dyDescent="0.2"/>
  <cols>
    <col min="1" max="1" width="39.7109375" style="80" bestFit="1" customWidth="1"/>
    <col min="2" max="2" width="8.5703125" style="15" bestFit="1" customWidth="1"/>
    <col min="3" max="3" width="15.85546875" style="29" bestFit="1" customWidth="1"/>
    <col min="4" max="13" width="13.28515625" style="11" hidden="1" customWidth="1"/>
    <col min="14" max="14" width="13.42578125" style="290" bestFit="1" customWidth="1"/>
    <col min="15" max="15" width="12" style="2" bestFit="1" customWidth="1"/>
    <col min="16" max="18" width="11.140625" style="2" bestFit="1" customWidth="1"/>
    <col min="19" max="20" width="9.140625" style="2"/>
    <col min="21" max="21" width="10.42578125" style="2" bestFit="1" customWidth="1"/>
    <col min="22" max="16384" width="9.140625" style="2"/>
  </cols>
  <sheetData>
    <row r="1" spans="1:104" s="1" customFormat="1" ht="18.75" x14ac:dyDescent="0.25">
      <c r="A1" s="312"/>
      <c r="B1" s="312"/>
      <c r="C1" s="312"/>
      <c r="D1" s="307"/>
      <c r="E1" s="307"/>
      <c r="F1" s="307"/>
      <c r="G1" s="307"/>
      <c r="H1" s="307"/>
      <c r="I1" s="307"/>
      <c r="J1" s="307"/>
      <c r="K1" s="307"/>
      <c r="L1" s="307"/>
      <c r="N1" s="303"/>
    </row>
    <row r="2" spans="1:104" ht="12.75" thickBot="1" x14ac:dyDescent="0.25">
      <c r="A2" s="136" t="s">
        <v>0</v>
      </c>
      <c r="B2" s="133"/>
      <c r="C2" s="134" t="s">
        <v>4</v>
      </c>
      <c r="D2" s="134"/>
      <c r="E2" s="134"/>
      <c r="F2" s="134"/>
      <c r="G2" s="134"/>
      <c r="H2" s="134"/>
      <c r="I2" s="134"/>
      <c r="J2" s="134"/>
      <c r="K2" s="134"/>
      <c r="L2" s="134"/>
      <c r="M2" s="135"/>
    </row>
    <row r="3" spans="1:104" ht="7.5" customHeight="1" thickTop="1" x14ac:dyDescent="0.2">
      <c r="A3" s="60"/>
      <c r="B3" s="12"/>
      <c r="C3" s="4"/>
      <c r="D3" s="4"/>
      <c r="E3" s="4"/>
      <c r="F3" s="4"/>
      <c r="G3" s="4"/>
      <c r="H3" s="4"/>
      <c r="I3" s="4"/>
      <c r="J3" s="4"/>
      <c r="K3" s="4"/>
      <c r="L3" s="4"/>
      <c r="M3" s="42"/>
    </row>
    <row r="4" spans="1:104" ht="13.5" customHeight="1" x14ac:dyDescent="0.2">
      <c r="A4" s="67" t="s">
        <v>196</v>
      </c>
      <c r="B4" s="12"/>
      <c r="C4" s="27"/>
      <c r="D4" s="4"/>
      <c r="E4" s="4"/>
      <c r="F4" s="4"/>
      <c r="G4" s="4"/>
      <c r="H4" s="4"/>
      <c r="I4" s="4"/>
      <c r="J4" s="4"/>
      <c r="K4" s="4"/>
      <c r="L4" s="4"/>
      <c r="M4" s="299"/>
      <c r="O4" s="306"/>
    </row>
    <row r="5" spans="1:104" ht="13.5" customHeight="1" x14ac:dyDescent="0.2">
      <c r="A5" s="67"/>
      <c r="B5" s="12"/>
      <c r="C5" s="27"/>
      <c r="D5" s="4"/>
      <c r="E5" s="4"/>
      <c r="F5" s="4"/>
      <c r="G5" s="4"/>
      <c r="H5" s="4"/>
      <c r="I5" s="4"/>
      <c r="J5" s="4"/>
      <c r="K5" s="4"/>
      <c r="L5" s="4"/>
      <c r="M5" s="299"/>
      <c r="O5" s="223"/>
      <c r="Q5" s="223"/>
    </row>
    <row r="6" spans="1:104" ht="13.5" customHeight="1" x14ac:dyDescent="0.2">
      <c r="A6" s="67"/>
      <c r="B6" s="12"/>
      <c r="C6" s="27"/>
      <c r="D6" s="4"/>
      <c r="E6" s="4"/>
      <c r="F6" s="4"/>
      <c r="G6" s="4"/>
      <c r="H6" s="4"/>
      <c r="I6" s="4"/>
      <c r="J6" s="4"/>
      <c r="K6" s="4"/>
      <c r="L6" s="4"/>
      <c r="M6" s="299"/>
      <c r="O6" s="223"/>
      <c r="Q6" s="223"/>
    </row>
    <row r="7" spans="1:104" ht="13.5" customHeight="1" x14ac:dyDescent="0.2">
      <c r="A7" s="67"/>
      <c r="B7" s="12"/>
      <c r="C7" s="27"/>
      <c r="D7" s="4"/>
      <c r="E7" s="4"/>
      <c r="F7" s="4"/>
      <c r="G7" s="4"/>
      <c r="H7" s="4"/>
      <c r="I7" s="4"/>
      <c r="J7" s="4"/>
      <c r="K7" s="4"/>
      <c r="L7" s="4"/>
      <c r="M7" s="299"/>
      <c r="O7" s="306"/>
      <c r="Q7" s="324"/>
      <c r="S7" s="223"/>
    </row>
    <row r="8" spans="1:104" ht="12.75" x14ac:dyDescent="0.2">
      <c r="A8" s="132" t="s">
        <v>13</v>
      </c>
      <c r="B8" s="17"/>
      <c r="C8" s="26">
        <f>SUM(C4:C7)</f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04" x14ac:dyDescent="0.2">
      <c r="Q9" s="223"/>
    </row>
    <row r="10" spans="1:104" ht="12.75" thickBot="1" x14ac:dyDescent="0.25">
      <c r="A10" s="313"/>
      <c r="B10" s="314"/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5"/>
      <c r="Q10" s="223"/>
    </row>
    <row r="11" spans="1:104" ht="12.75" thickBot="1" x14ac:dyDescent="0.25">
      <c r="A11" s="30" t="s">
        <v>14</v>
      </c>
      <c r="B11" s="13"/>
      <c r="C11" s="134" t="s">
        <v>4</v>
      </c>
      <c r="D11" s="5"/>
      <c r="E11" s="5"/>
      <c r="F11" s="5"/>
      <c r="G11" s="5"/>
      <c r="H11" s="5"/>
      <c r="I11" s="5"/>
      <c r="J11" s="5"/>
      <c r="K11" s="5"/>
      <c r="L11" s="5"/>
      <c r="M11" s="41"/>
      <c r="Q11" s="223"/>
    </row>
    <row r="12" spans="1:104" ht="12.75" thickTop="1" x14ac:dyDescent="0.2">
      <c r="A12" s="60"/>
      <c r="B12" s="12"/>
      <c r="C12" s="4"/>
      <c r="D12" s="4"/>
      <c r="E12" s="4"/>
      <c r="F12" s="4"/>
      <c r="G12" s="4"/>
      <c r="H12" s="4"/>
      <c r="I12" s="4"/>
      <c r="J12" s="4"/>
      <c r="K12" s="4"/>
      <c r="L12" s="4"/>
      <c r="M12" s="42"/>
      <c r="P12" s="290"/>
      <c r="Q12" s="223"/>
      <c r="R12" s="223"/>
    </row>
    <row r="13" spans="1:104" x14ac:dyDescent="0.2">
      <c r="A13" s="61" t="s">
        <v>15</v>
      </c>
      <c r="B13" s="12">
        <v>6.4999999999999997E-3</v>
      </c>
      <c r="C13" s="16">
        <f>C8*B13</f>
        <v>0</v>
      </c>
      <c r="D13" s="6"/>
      <c r="E13" s="6"/>
      <c r="F13" s="6"/>
      <c r="G13" s="6"/>
      <c r="H13" s="6"/>
      <c r="I13" s="6"/>
      <c r="J13" s="6"/>
      <c r="K13" s="6"/>
      <c r="L13" s="6"/>
      <c r="M13" s="31"/>
      <c r="O13" s="223"/>
      <c r="P13" s="290"/>
    </row>
    <row r="14" spans="1:104" s="8" customFormat="1" ht="12.75" thickBot="1" x14ac:dyDescent="0.25">
      <c r="A14" s="62" t="s">
        <v>16</v>
      </c>
      <c r="B14" s="14">
        <v>0.03</v>
      </c>
      <c r="C14" s="16">
        <f>C8*B14</f>
        <v>0</v>
      </c>
      <c r="D14" s="7"/>
      <c r="E14" s="7"/>
      <c r="F14" s="7"/>
      <c r="G14" s="7"/>
      <c r="H14" s="7"/>
      <c r="I14" s="7"/>
      <c r="J14" s="7"/>
      <c r="K14" s="7"/>
      <c r="L14" s="7"/>
      <c r="M14" s="32"/>
      <c r="N14" s="290"/>
      <c r="O14" s="223"/>
      <c r="P14" s="290"/>
      <c r="Q14" s="223"/>
      <c r="R14" s="223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</row>
    <row r="15" spans="1:104" s="10" customFormat="1" ht="12.75" thickTop="1" x14ac:dyDescent="0.2">
      <c r="A15" s="63" t="s">
        <v>17</v>
      </c>
      <c r="B15" s="33"/>
      <c r="C15" s="34">
        <f>SUM(C13:C14)</f>
        <v>0</v>
      </c>
      <c r="D15" s="35"/>
      <c r="E15" s="35"/>
      <c r="F15" s="35"/>
      <c r="G15" s="35"/>
      <c r="H15" s="35"/>
      <c r="I15" s="35"/>
      <c r="J15" s="35"/>
      <c r="K15" s="35"/>
      <c r="L15" s="35"/>
      <c r="M15" s="36"/>
      <c r="N15" s="304"/>
    </row>
    <row r="16" spans="1:104" ht="11.25" customHeight="1" x14ac:dyDescent="0.2">
      <c r="A16" s="64"/>
      <c r="B16" s="45"/>
      <c r="C16" s="46"/>
      <c r="D16" s="47"/>
      <c r="E16" s="47"/>
      <c r="F16" s="47"/>
      <c r="G16" s="47"/>
      <c r="H16" s="47"/>
      <c r="I16" s="47"/>
      <c r="J16" s="47"/>
      <c r="K16" s="47"/>
      <c r="L16" s="47"/>
      <c r="M16" s="47"/>
      <c r="Q16" s="223"/>
    </row>
    <row r="17" spans="1:15" x14ac:dyDescent="0.2">
      <c r="A17" s="65" t="s">
        <v>18</v>
      </c>
      <c r="B17" s="19"/>
      <c r="C17" s="23"/>
      <c r="D17" s="21"/>
      <c r="E17" s="21"/>
      <c r="F17" s="21"/>
      <c r="G17" s="21"/>
      <c r="H17" s="21"/>
      <c r="I17" s="21"/>
      <c r="J17" s="21"/>
      <c r="K17" s="21"/>
      <c r="L17" s="21"/>
      <c r="M17" s="37"/>
    </row>
    <row r="18" spans="1:15" s="57" customFormat="1" ht="12.75" thickBot="1" x14ac:dyDescent="0.25">
      <c r="A18" s="66" t="s">
        <v>116</v>
      </c>
      <c r="B18" s="53"/>
      <c r="C18" s="54">
        <v>0</v>
      </c>
      <c r="D18" s="55"/>
      <c r="E18" s="55"/>
      <c r="F18" s="55"/>
      <c r="G18" s="55"/>
      <c r="H18" s="55"/>
      <c r="I18" s="55"/>
      <c r="J18" s="55"/>
      <c r="K18" s="55"/>
      <c r="L18" s="55"/>
      <c r="M18" s="56"/>
      <c r="N18" s="302"/>
    </row>
    <row r="19" spans="1:15" ht="12.75" thickTop="1" x14ac:dyDescent="0.2">
      <c r="A19" s="67" t="s">
        <v>19</v>
      </c>
      <c r="B19" s="12"/>
      <c r="C19" s="24">
        <v>0</v>
      </c>
      <c r="D19" s="6"/>
      <c r="E19" s="6"/>
      <c r="F19" s="6"/>
      <c r="G19" s="6"/>
      <c r="H19" s="6"/>
      <c r="I19" s="6"/>
      <c r="J19" s="6"/>
      <c r="K19" s="6"/>
      <c r="L19" s="6"/>
      <c r="M19" s="31"/>
    </row>
    <row r="20" spans="1:15" x14ac:dyDescent="0.2">
      <c r="A20" s="68"/>
      <c r="B20" s="12"/>
      <c r="C20" s="25"/>
      <c r="D20" s="6"/>
      <c r="E20" s="6"/>
      <c r="F20" s="6"/>
      <c r="G20" s="6"/>
      <c r="H20" s="6"/>
      <c r="I20" s="6"/>
      <c r="J20" s="6"/>
      <c r="K20" s="6"/>
      <c r="L20" s="6"/>
      <c r="M20" s="31"/>
    </row>
    <row r="21" spans="1:15" x14ac:dyDescent="0.2">
      <c r="A21" s="68" t="s">
        <v>15</v>
      </c>
      <c r="B21" s="12">
        <v>6.4999999999999997E-3</v>
      </c>
      <c r="C21" s="16">
        <v>0</v>
      </c>
      <c r="D21" s="6"/>
      <c r="E21" s="6"/>
      <c r="F21" s="6"/>
      <c r="G21" s="6"/>
      <c r="H21" s="6"/>
      <c r="I21" s="6"/>
      <c r="J21" s="6"/>
      <c r="K21" s="6"/>
      <c r="L21" s="6"/>
      <c r="M21" s="31"/>
    </row>
    <row r="22" spans="1:15" ht="12.75" thickBot="1" x14ac:dyDescent="0.25">
      <c r="A22" s="66" t="s">
        <v>16</v>
      </c>
      <c r="B22" s="14">
        <v>0.03</v>
      </c>
      <c r="C22" s="22">
        <v>0</v>
      </c>
      <c r="D22" s="7"/>
      <c r="E22" s="7"/>
      <c r="F22" s="7"/>
      <c r="G22" s="7"/>
      <c r="H22" s="7"/>
      <c r="I22" s="7"/>
      <c r="J22" s="7"/>
      <c r="K22" s="7"/>
      <c r="L22" s="7"/>
      <c r="M22" s="32"/>
    </row>
    <row r="23" spans="1:15" ht="12.75" thickTop="1" x14ac:dyDescent="0.2">
      <c r="A23" s="69" t="s">
        <v>18</v>
      </c>
      <c r="B23" s="17"/>
      <c r="C23" s="26">
        <v>0</v>
      </c>
      <c r="D23" s="18"/>
      <c r="E23" s="18"/>
      <c r="F23" s="18"/>
      <c r="G23" s="18"/>
      <c r="H23" s="18"/>
      <c r="I23" s="18"/>
      <c r="J23" s="18"/>
      <c r="K23" s="18"/>
      <c r="L23" s="18"/>
      <c r="M23" s="38"/>
    </row>
    <row r="24" spans="1:15" x14ac:dyDescent="0.2">
      <c r="A24" s="70"/>
      <c r="B24" s="45"/>
      <c r="C24" s="48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 spans="1:15" x14ac:dyDescent="0.2">
      <c r="A25" s="162" t="s">
        <v>62</v>
      </c>
      <c r="B25" s="163"/>
      <c r="C25" s="165"/>
      <c r="D25" s="164"/>
      <c r="E25" s="164"/>
      <c r="F25" s="164"/>
      <c r="G25" s="164"/>
      <c r="H25" s="164"/>
      <c r="I25" s="164"/>
      <c r="J25" s="164"/>
      <c r="K25" s="164"/>
      <c r="L25" s="164"/>
      <c r="M25" s="164"/>
    </row>
    <row r="26" spans="1:15" ht="12.75" customHeight="1" x14ac:dyDescent="0.2">
      <c r="A26" s="296" t="s">
        <v>20</v>
      </c>
      <c r="B26" s="19"/>
      <c r="C26" s="39"/>
      <c r="D26" s="20"/>
      <c r="E26" s="20"/>
      <c r="F26" s="20"/>
      <c r="G26" s="20"/>
      <c r="H26" s="20"/>
      <c r="I26" s="20"/>
      <c r="J26" s="20"/>
      <c r="K26" s="20"/>
      <c r="L26" s="20"/>
      <c r="M26" s="43"/>
    </row>
    <row r="27" spans="1:15" s="57" customFormat="1" x14ac:dyDescent="0.2">
      <c r="A27" s="68" t="s">
        <v>170</v>
      </c>
      <c r="B27" s="163"/>
      <c r="C27" s="308"/>
      <c r="D27" s="59"/>
      <c r="E27" s="288"/>
      <c r="F27" s="59"/>
      <c r="G27" s="59"/>
      <c r="H27" s="59"/>
      <c r="I27" s="288"/>
      <c r="J27" s="292"/>
      <c r="K27" s="59"/>
      <c r="L27" s="288"/>
      <c r="M27" s="291"/>
      <c r="N27" s="302"/>
      <c r="O27" s="224"/>
    </row>
    <row r="28" spans="1:15" s="57" customFormat="1" x14ac:dyDescent="0.2">
      <c r="A28" s="68" t="s">
        <v>171</v>
      </c>
      <c r="B28" s="68"/>
      <c r="C28" s="308"/>
      <c r="D28" s="59"/>
      <c r="E28" s="288"/>
      <c r="F28" s="59"/>
      <c r="G28" s="59"/>
      <c r="H28" s="59"/>
      <c r="I28" s="288"/>
      <c r="J28" s="292"/>
      <c r="K28" s="59"/>
      <c r="L28" s="288"/>
      <c r="M28" s="297"/>
      <c r="N28" s="302"/>
      <c r="O28" s="224"/>
    </row>
    <row r="29" spans="1:15" s="57" customFormat="1" x14ac:dyDescent="0.2">
      <c r="A29" s="68" t="s">
        <v>172</v>
      </c>
      <c r="B29" s="68"/>
      <c r="C29" s="308"/>
      <c r="D29" s="59"/>
      <c r="E29" s="288"/>
      <c r="F29" s="59"/>
      <c r="G29" s="59"/>
      <c r="H29" s="59"/>
      <c r="I29" s="288"/>
      <c r="J29" s="292"/>
      <c r="K29" s="59"/>
      <c r="L29" s="288"/>
      <c r="M29" s="297"/>
      <c r="N29" s="302"/>
      <c r="O29" s="224"/>
    </row>
    <row r="30" spans="1:15" s="57" customFormat="1" x14ac:dyDescent="0.2">
      <c r="A30" s="68" t="s">
        <v>173</v>
      </c>
      <c r="B30" s="68"/>
      <c r="C30" s="308"/>
      <c r="D30" s="59"/>
      <c r="E30" s="288"/>
      <c r="F30" s="59"/>
      <c r="G30" s="59"/>
      <c r="H30" s="59"/>
      <c r="I30" s="288"/>
      <c r="J30" s="292"/>
      <c r="K30" s="59"/>
      <c r="L30" s="288"/>
      <c r="M30" s="288"/>
      <c r="N30" s="302"/>
    </row>
    <row r="31" spans="1:15" s="57" customFormat="1" x14ac:dyDescent="0.2">
      <c r="A31" s="68" t="s">
        <v>174</v>
      </c>
      <c r="B31" s="68"/>
      <c r="C31" s="308"/>
      <c r="D31" s="59"/>
      <c r="E31" s="288"/>
      <c r="F31" s="59"/>
      <c r="G31" s="59"/>
      <c r="H31" s="59"/>
      <c r="I31" s="288"/>
      <c r="J31" s="292"/>
      <c r="K31" s="59"/>
      <c r="L31" s="288"/>
      <c r="M31" s="297"/>
      <c r="N31" s="302"/>
    </row>
    <row r="32" spans="1:15" s="57" customFormat="1" x14ac:dyDescent="0.2">
      <c r="A32" s="68" t="s">
        <v>175</v>
      </c>
      <c r="B32" s="68"/>
      <c r="C32" s="308"/>
      <c r="D32" s="59"/>
      <c r="E32" s="288"/>
      <c r="F32" s="59"/>
      <c r="G32" s="59"/>
      <c r="H32" s="59"/>
      <c r="I32" s="288"/>
      <c r="J32" s="292"/>
      <c r="K32" s="59"/>
      <c r="L32" s="288"/>
      <c r="M32" s="297"/>
      <c r="N32" s="302"/>
    </row>
    <row r="33" spans="1:14" s="57" customFormat="1" x14ac:dyDescent="0.2">
      <c r="A33" s="68" t="s">
        <v>176</v>
      </c>
      <c r="B33" s="68"/>
      <c r="C33" s="308"/>
      <c r="D33" s="59"/>
      <c r="E33" s="288"/>
      <c r="F33" s="59"/>
      <c r="G33" s="59"/>
      <c r="H33" s="59"/>
      <c r="I33" s="288"/>
      <c r="J33" s="292"/>
      <c r="K33" s="59"/>
      <c r="L33" s="288"/>
      <c r="M33" s="297"/>
      <c r="N33" s="302"/>
    </row>
    <row r="34" spans="1:14" s="57" customFormat="1" x14ac:dyDescent="0.2">
      <c r="A34" s="68" t="s">
        <v>177</v>
      </c>
      <c r="B34" s="68"/>
      <c r="C34" s="308"/>
      <c r="D34" s="160"/>
      <c r="E34" s="294"/>
      <c r="F34" s="160"/>
      <c r="G34" s="160"/>
      <c r="H34" s="160"/>
      <c r="I34" s="294"/>
      <c r="J34" s="295"/>
      <c r="K34" s="160"/>
      <c r="L34" s="294"/>
      <c r="M34" s="297"/>
      <c r="N34" s="302"/>
    </row>
    <row r="35" spans="1:14" s="57" customFormat="1" x14ac:dyDescent="0.2">
      <c r="A35" s="68" t="s">
        <v>178</v>
      </c>
      <c r="B35" s="68"/>
      <c r="C35" s="308"/>
      <c r="D35" s="160"/>
      <c r="E35" s="294"/>
      <c r="F35" s="160"/>
      <c r="G35" s="160"/>
      <c r="H35" s="160"/>
      <c r="I35" s="294"/>
      <c r="J35" s="295"/>
      <c r="K35" s="160"/>
      <c r="L35" s="294"/>
      <c r="M35" s="295"/>
      <c r="N35" s="302"/>
    </row>
    <row r="36" spans="1:14" s="57" customFormat="1" x14ac:dyDescent="0.2">
      <c r="A36" s="68" t="s">
        <v>179</v>
      </c>
      <c r="B36" s="68"/>
      <c r="C36" s="308"/>
      <c r="D36" s="160"/>
      <c r="E36" s="294"/>
      <c r="F36" s="160"/>
      <c r="G36" s="160"/>
      <c r="H36" s="160"/>
      <c r="I36" s="294"/>
      <c r="J36" s="295"/>
      <c r="K36" s="160"/>
      <c r="L36" s="294"/>
      <c r="M36" s="295"/>
      <c r="N36" s="302"/>
    </row>
    <row r="37" spans="1:14" s="57" customFormat="1" x14ac:dyDescent="0.2">
      <c r="A37" s="68" t="s">
        <v>180</v>
      </c>
      <c r="B37" s="68"/>
      <c r="C37" s="308"/>
      <c r="D37" s="160"/>
      <c r="E37" s="294"/>
      <c r="F37" s="160"/>
      <c r="G37" s="160"/>
      <c r="H37" s="160"/>
      <c r="I37" s="294"/>
      <c r="J37" s="295"/>
      <c r="K37" s="160"/>
      <c r="L37" s="294"/>
      <c r="M37" s="295"/>
      <c r="N37" s="302"/>
    </row>
    <row r="38" spans="1:14" s="57" customFormat="1" x14ac:dyDescent="0.2">
      <c r="A38" s="68" t="s">
        <v>181</v>
      </c>
      <c r="B38" s="68"/>
      <c r="C38" s="308"/>
      <c r="D38" s="160"/>
      <c r="E38" s="294"/>
      <c r="F38" s="160"/>
      <c r="G38" s="160"/>
      <c r="H38" s="160"/>
      <c r="I38" s="294"/>
      <c r="J38" s="295"/>
      <c r="K38" s="160"/>
      <c r="L38" s="294"/>
      <c r="M38" s="295"/>
      <c r="N38" s="302"/>
    </row>
    <row r="39" spans="1:14" s="57" customFormat="1" x14ac:dyDescent="0.2">
      <c r="A39" s="68" t="s">
        <v>182</v>
      </c>
      <c r="B39" s="68"/>
      <c r="C39" s="308"/>
      <c r="D39" s="160"/>
      <c r="E39" s="294"/>
      <c r="F39" s="160"/>
      <c r="G39" s="160"/>
      <c r="H39" s="160"/>
      <c r="I39" s="294"/>
      <c r="J39" s="295"/>
      <c r="K39" s="160"/>
      <c r="L39" s="294"/>
      <c r="M39" s="295"/>
      <c r="N39" s="302"/>
    </row>
    <row r="40" spans="1:14" s="57" customFormat="1" x14ac:dyDescent="0.2">
      <c r="A40" s="68" t="s">
        <v>183</v>
      </c>
      <c r="B40" s="68"/>
      <c r="C40" s="308"/>
      <c r="D40" s="160"/>
      <c r="E40" s="294"/>
      <c r="F40" s="160"/>
      <c r="G40" s="160"/>
      <c r="H40" s="160"/>
      <c r="I40" s="294"/>
      <c r="J40" s="295"/>
      <c r="K40" s="160"/>
      <c r="L40" s="294"/>
      <c r="M40" s="295"/>
      <c r="N40" s="302"/>
    </row>
    <row r="41" spans="1:14" s="57" customFormat="1" x14ac:dyDescent="0.2">
      <c r="A41" s="68" t="s">
        <v>184</v>
      </c>
      <c r="B41" s="68"/>
      <c r="C41" s="308"/>
      <c r="D41" s="160"/>
      <c r="E41" s="294"/>
      <c r="F41" s="160"/>
      <c r="G41" s="160"/>
      <c r="H41" s="160"/>
      <c r="I41" s="294"/>
      <c r="J41" s="295"/>
      <c r="K41" s="160"/>
      <c r="L41" s="294"/>
      <c r="M41" s="295"/>
      <c r="N41" s="302"/>
    </row>
    <row r="42" spans="1:14" s="57" customFormat="1" x14ac:dyDescent="0.2">
      <c r="A42" s="68" t="s">
        <v>185</v>
      </c>
      <c r="B42" s="68"/>
      <c r="C42" s="308"/>
      <c r="D42" s="160"/>
      <c r="E42" s="294"/>
      <c r="F42" s="160"/>
      <c r="G42" s="160"/>
      <c r="H42" s="160"/>
      <c r="I42" s="294"/>
      <c r="J42" s="295"/>
      <c r="K42" s="160"/>
      <c r="L42" s="294"/>
      <c r="M42" s="295"/>
      <c r="N42" s="302"/>
    </row>
    <row r="43" spans="1:14" s="57" customFormat="1" x14ac:dyDescent="0.2">
      <c r="A43" s="68" t="s">
        <v>186</v>
      </c>
      <c r="B43" s="68"/>
      <c r="C43" s="308"/>
      <c r="D43" s="160"/>
      <c r="E43" s="294"/>
      <c r="F43" s="160"/>
      <c r="G43" s="160"/>
      <c r="H43" s="160"/>
      <c r="I43" s="294"/>
      <c r="J43" s="295"/>
      <c r="K43" s="160"/>
      <c r="L43" s="294"/>
      <c r="M43" s="295"/>
      <c r="N43" s="302"/>
    </row>
    <row r="44" spans="1:14" s="57" customFormat="1" x14ac:dyDescent="0.2">
      <c r="A44" s="68" t="s">
        <v>187</v>
      </c>
      <c r="B44" s="68"/>
      <c r="C44" s="308"/>
      <c r="D44" s="160"/>
      <c r="E44" s="294"/>
      <c r="F44" s="160"/>
      <c r="G44" s="160"/>
      <c r="H44" s="160"/>
      <c r="I44" s="294"/>
      <c r="J44" s="295"/>
      <c r="K44" s="160"/>
      <c r="L44" s="294"/>
      <c r="M44" s="295"/>
      <c r="N44" s="302"/>
    </row>
    <row r="45" spans="1:14" s="57" customFormat="1" x14ac:dyDescent="0.2">
      <c r="A45" s="68" t="s">
        <v>188</v>
      </c>
      <c r="B45" s="68"/>
      <c r="C45" s="308"/>
      <c r="D45" s="160"/>
      <c r="E45" s="294"/>
      <c r="F45" s="160"/>
      <c r="G45" s="160"/>
      <c r="H45" s="160"/>
      <c r="I45" s="294"/>
      <c r="J45" s="295"/>
      <c r="K45" s="160"/>
      <c r="L45" s="294"/>
      <c r="M45" s="295"/>
      <c r="N45" s="302"/>
    </row>
    <row r="46" spans="1:14" s="57" customFormat="1" x14ac:dyDescent="0.2">
      <c r="A46" s="68" t="s">
        <v>189</v>
      </c>
      <c r="B46" s="68"/>
      <c r="C46" s="308"/>
      <c r="D46" s="160"/>
      <c r="E46" s="294"/>
      <c r="F46" s="160"/>
      <c r="G46" s="160"/>
      <c r="H46" s="160"/>
      <c r="I46" s="294"/>
      <c r="J46" s="295"/>
      <c r="K46" s="160"/>
      <c r="L46" s="294"/>
      <c r="M46" s="295"/>
      <c r="N46" s="302"/>
    </row>
    <row r="47" spans="1:14" s="57" customFormat="1" x14ac:dyDescent="0.2">
      <c r="A47" s="68" t="s">
        <v>190</v>
      </c>
      <c r="B47" s="68"/>
      <c r="C47" s="308"/>
      <c r="D47" s="160"/>
      <c r="E47" s="294"/>
      <c r="F47" s="160"/>
      <c r="G47" s="160"/>
      <c r="H47" s="160"/>
      <c r="I47" s="294"/>
      <c r="J47" s="295"/>
      <c r="K47" s="160"/>
      <c r="L47" s="294"/>
      <c r="M47" s="295"/>
      <c r="N47" s="302"/>
    </row>
    <row r="48" spans="1:14" s="57" customFormat="1" x14ac:dyDescent="0.2">
      <c r="A48" s="68" t="s">
        <v>191</v>
      </c>
      <c r="B48" s="68"/>
      <c r="C48" s="308"/>
      <c r="D48" s="160"/>
      <c r="E48" s="294"/>
      <c r="F48" s="160"/>
      <c r="G48" s="160"/>
      <c r="H48" s="160"/>
      <c r="I48" s="294"/>
      <c r="J48" s="295"/>
      <c r="K48" s="160"/>
      <c r="L48" s="294"/>
      <c r="M48" s="295"/>
      <c r="N48" s="302"/>
    </row>
    <row r="49" spans="1:14" s="57" customFormat="1" x14ac:dyDescent="0.2">
      <c r="A49" s="68" t="s">
        <v>192</v>
      </c>
      <c r="B49" s="68"/>
      <c r="C49" s="308"/>
      <c r="D49" s="160"/>
      <c r="E49" s="294"/>
      <c r="F49" s="160"/>
      <c r="G49" s="160"/>
      <c r="H49" s="160"/>
      <c r="I49" s="294"/>
      <c r="J49" s="295"/>
      <c r="K49" s="160"/>
      <c r="L49" s="294"/>
      <c r="M49" s="295"/>
      <c r="N49" s="302"/>
    </row>
    <row r="50" spans="1:14" s="57" customFormat="1" x14ac:dyDescent="0.2">
      <c r="A50" s="68" t="s">
        <v>193</v>
      </c>
      <c r="B50" s="68"/>
      <c r="C50" s="308"/>
      <c r="D50" s="160"/>
      <c r="E50" s="294"/>
      <c r="F50" s="160"/>
      <c r="G50" s="160"/>
      <c r="H50" s="160"/>
      <c r="I50" s="294"/>
      <c r="J50" s="295"/>
      <c r="K50" s="160"/>
      <c r="L50" s="294"/>
      <c r="M50" s="295"/>
      <c r="N50" s="302"/>
    </row>
    <row r="51" spans="1:14" s="57" customFormat="1" ht="12.75" thickBot="1" x14ac:dyDescent="0.25">
      <c r="A51" s="68" t="s">
        <v>194</v>
      </c>
      <c r="B51" s="68"/>
      <c r="C51" s="308"/>
      <c r="D51" s="55"/>
      <c r="E51" s="289"/>
      <c r="F51" s="55"/>
      <c r="G51" s="55"/>
      <c r="H51" s="55"/>
      <c r="I51" s="289"/>
      <c r="J51" s="293"/>
      <c r="K51" s="55"/>
      <c r="L51" s="289"/>
      <c r="M51" s="298"/>
      <c r="N51" s="302"/>
    </row>
    <row r="52" spans="1:14" s="10" customFormat="1" ht="12.75" thickTop="1" x14ac:dyDescent="0.2">
      <c r="A52" s="68" t="s">
        <v>195</v>
      </c>
      <c r="B52" s="68"/>
      <c r="C52" s="308" t="s">
        <v>169</v>
      </c>
      <c r="D52" s="9"/>
      <c r="E52" s="9"/>
      <c r="F52" s="9"/>
      <c r="G52" s="9"/>
      <c r="H52" s="9"/>
      <c r="I52" s="9"/>
      <c r="J52" s="9"/>
      <c r="K52" s="9"/>
      <c r="L52" s="44"/>
      <c r="M52" s="44"/>
      <c r="N52" s="304"/>
    </row>
    <row r="53" spans="1:14" x14ac:dyDescent="0.2">
      <c r="A53" s="202" t="s">
        <v>19</v>
      </c>
      <c r="B53" s="24"/>
      <c r="C53" s="309">
        <f>SUM(C27:C52)</f>
        <v>0</v>
      </c>
      <c r="D53" s="6"/>
      <c r="E53" s="6"/>
      <c r="F53" s="6"/>
      <c r="G53" s="6"/>
      <c r="H53" s="6"/>
      <c r="I53" s="6"/>
      <c r="J53" s="6"/>
      <c r="K53" s="6"/>
      <c r="L53" s="6"/>
      <c r="M53" s="31"/>
    </row>
    <row r="54" spans="1:14" x14ac:dyDescent="0.2">
      <c r="A54" s="67"/>
      <c r="B54" s="12"/>
      <c r="C54" s="24"/>
      <c r="D54" s="16"/>
      <c r="E54" s="16"/>
      <c r="F54" s="16"/>
      <c r="G54" s="16"/>
      <c r="H54" s="16"/>
      <c r="I54" s="16"/>
      <c r="J54" s="16"/>
      <c r="K54" s="16"/>
      <c r="L54" s="16"/>
      <c r="M54" s="103"/>
    </row>
    <row r="55" spans="1:14" ht="12.75" thickBot="1" x14ac:dyDescent="0.25">
      <c r="A55" s="68" t="s">
        <v>15</v>
      </c>
      <c r="B55" s="12">
        <v>6.4999999999999997E-3</v>
      </c>
      <c r="C55" s="16">
        <f>C53*B55</f>
        <v>0</v>
      </c>
      <c r="D55" s="22"/>
      <c r="E55" s="22"/>
      <c r="F55" s="22"/>
      <c r="G55" s="22"/>
      <c r="H55" s="22"/>
      <c r="I55" s="22"/>
      <c r="J55" s="22"/>
      <c r="K55" s="22"/>
      <c r="L55" s="22"/>
      <c r="M55" s="104"/>
    </row>
    <row r="56" spans="1:14" ht="13.5" thickTop="1" thickBot="1" x14ac:dyDescent="0.25">
      <c r="A56" s="66" t="s">
        <v>16</v>
      </c>
      <c r="B56" s="14">
        <v>0.03</v>
      </c>
      <c r="C56" s="22">
        <f>C53*B56</f>
        <v>0</v>
      </c>
      <c r="D56" s="18"/>
      <c r="E56" s="18"/>
      <c r="F56" s="18"/>
      <c r="G56" s="18"/>
      <c r="H56" s="18"/>
      <c r="I56" s="18"/>
      <c r="J56" s="18"/>
      <c r="K56" s="18"/>
      <c r="L56" s="18"/>
      <c r="M56" s="38"/>
    </row>
    <row r="57" spans="1:14" ht="12.75" thickTop="1" x14ac:dyDescent="0.2">
      <c r="A57" s="72" t="s">
        <v>20</v>
      </c>
      <c r="B57" s="17"/>
      <c r="C57" s="26">
        <f>C56+C55</f>
        <v>0</v>
      </c>
      <c r="D57" s="47"/>
      <c r="E57" s="47"/>
      <c r="F57" s="47"/>
      <c r="G57" s="47"/>
      <c r="H57" s="47"/>
      <c r="I57" s="47"/>
      <c r="J57" s="47"/>
      <c r="K57" s="47"/>
      <c r="L57" s="47"/>
      <c r="M57" s="47"/>
    </row>
    <row r="58" spans="1:14" x14ac:dyDescent="0.2">
      <c r="A58" s="73"/>
      <c r="B58" s="45"/>
      <c r="C58" s="50"/>
      <c r="D58" s="20"/>
      <c r="E58" s="20"/>
      <c r="F58" s="20"/>
      <c r="G58" s="20"/>
      <c r="H58" s="20"/>
      <c r="I58" s="20"/>
      <c r="J58" s="20"/>
      <c r="K58" s="20"/>
      <c r="L58" s="20"/>
      <c r="M58" s="43"/>
    </row>
    <row r="59" spans="1:14" s="57" customFormat="1" ht="12.75" thickBot="1" x14ac:dyDescent="0.25">
      <c r="A59" s="71" t="s">
        <v>22</v>
      </c>
      <c r="B59" s="19"/>
      <c r="C59" s="39"/>
      <c r="D59" s="55"/>
      <c r="E59" s="55"/>
      <c r="F59" s="55"/>
      <c r="G59" s="55"/>
      <c r="H59" s="55"/>
      <c r="I59" s="55"/>
      <c r="J59" s="55"/>
      <c r="K59" s="55"/>
      <c r="L59" s="55"/>
      <c r="M59" s="56"/>
      <c r="N59" s="302"/>
    </row>
    <row r="60" spans="1:14" ht="13.5" thickTop="1" thickBot="1" x14ac:dyDescent="0.25">
      <c r="A60" s="66" t="s">
        <v>23</v>
      </c>
      <c r="B60" s="53"/>
      <c r="C60" s="54"/>
      <c r="D60" s="6"/>
      <c r="E60" s="6"/>
      <c r="F60" s="6"/>
      <c r="G60" s="6"/>
      <c r="H60" s="6"/>
      <c r="I60" s="6"/>
      <c r="J60" s="6"/>
      <c r="K60" s="6"/>
      <c r="L60" s="6"/>
      <c r="M60" s="31"/>
    </row>
    <row r="61" spans="1:14" ht="12.75" thickTop="1" x14ac:dyDescent="0.2">
      <c r="A61" s="67" t="s">
        <v>19</v>
      </c>
      <c r="B61" s="12"/>
      <c r="C61" s="24">
        <v>0</v>
      </c>
      <c r="D61" s="6"/>
      <c r="E61" s="6"/>
      <c r="F61" s="6"/>
      <c r="G61" s="6"/>
      <c r="H61" s="6"/>
      <c r="I61" s="6"/>
      <c r="J61" s="6"/>
      <c r="K61" s="6"/>
      <c r="L61" s="6"/>
      <c r="M61" s="31"/>
    </row>
    <row r="62" spans="1:14" x14ac:dyDescent="0.2">
      <c r="A62" s="74"/>
      <c r="B62" s="12"/>
      <c r="C62" s="24"/>
      <c r="D62" s="6"/>
      <c r="E62" s="6"/>
      <c r="F62" s="6"/>
      <c r="G62" s="6"/>
      <c r="H62" s="6"/>
      <c r="I62" s="6"/>
      <c r="J62" s="6"/>
      <c r="K62" s="6"/>
      <c r="L62" s="6"/>
      <c r="M62" s="31"/>
    </row>
    <row r="63" spans="1:14" ht="12.75" thickBot="1" x14ac:dyDescent="0.25">
      <c r="A63" s="68" t="s">
        <v>15</v>
      </c>
      <c r="B63" s="12">
        <v>6.4999999999999997E-3</v>
      </c>
      <c r="C63" s="16">
        <v>0</v>
      </c>
      <c r="D63" s="7"/>
      <c r="E63" s="7"/>
      <c r="F63" s="7"/>
      <c r="G63" s="7"/>
      <c r="H63" s="7"/>
      <c r="I63" s="7"/>
      <c r="J63" s="7"/>
      <c r="K63" s="7"/>
      <c r="L63" s="7"/>
      <c r="M63" s="32"/>
    </row>
    <row r="64" spans="1:14" ht="13.5" thickTop="1" thickBot="1" x14ac:dyDescent="0.25">
      <c r="A64" s="66" t="s">
        <v>16</v>
      </c>
      <c r="B64" s="14">
        <v>0.03</v>
      </c>
      <c r="C64" s="22">
        <v>0</v>
      </c>
      <c r="D64" s="18"/>
      <c r="E64" s="18"/>
      <c r="F64" s="18"/>
      <c r="G64" s="18"/>
      <c r="H64" s="18"/>
      <c r="I64" s="18"/>
      <c r="J64" s="18"/>
      <c r="K64" s="18"/>
      <c r="L64" s="18"/>
      <c r="M64" s="38"/>
    </row>
    <row r="65" spans="1:14" ht="12.75" thickTop="1" x14ac:dyDescent="0.2">
      <c r="A65" s="72" t="s">
        <v>22</v>
      </c>
      <c r="B65" s="17"/>
      <c r="C65" s="26">
        <f>C63+C64</f>
        <v>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</row>
    <row r="66" spans="1:14" x14ac:dyDescent="0.2">
      <c r="A66" s="70"/>
      <c r="B66" s="45"/>
      <c r="C66" s="46"/>
      <c r="D66" s="20"/>
      <c r="E66" s="20"/>
      <c r="F66" s="20"/>
      <c r="G66" s="20"/>
      <c r="H66" s="20"/>
      <c r="I66" s="20"/>
      <c r="J66" s="20"/>
      <c r="K66" s="20"/>
      <c r="L66" s="20"/>
      <c r="M66" s="43"/>
    </row>
    <row r="67" spans="1:14" s="57" customFormat="1" x14ac:dyDescent="0.2">
      <c r="A67" s="75" t="s">
        <v>24</v>
      </c>
      <c r="B67" s="19"/>
      <c r="C67" s="23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302"/>
    </row>
    <row r="68" spans="1:14" s="57" customFormat="1" ht="12.75" thickBot="1" x14ac:dyDescent="0.25">
      <c r="A68" s="68" t="s">
        <v>25</v>
      </c>
      <c r="B68" s="58"/>
      <c r="C68" s="52"/>
      <c r="D68" s="55"/>
      <c r="E68" s="55"/>
      <c r="F68" s="55"/>
      <c r="G68" s="55"/>
      <c r="H68" s="55"/>
      <c r="I68" s="55"/>
      <c r="J68" s="55"/>
      <c r="K68" s="55"/>
      <c r="L68" s="55"/>
      <c r="M68" s="56"/>
      <c r="N68" s="302"/>
    </row>
    <row r="69" spans="1:14" ht="13.5" thickTop="1" thickBot="1" x14ac:dyDescent="0.25">
      <c r="A69" s="66" t="s">
        <v>164</v>
      </c>
      <c r="B69" s="53"/>
      <c r="C69" s="54"/>
      <c r="D69" s="6"/>
      <c r="E69" s="6"/>
      <c r="F69" s="6"/>
      <c r="G69" s="6"/>
      <c r="H69" s="6"/>
      <c r="I69" s="6"/>
      <c r="J69" s="6"/>
      <c r="K69" s="6"/>
      <c r="L69" s="6"/>
      <c r="M69" s="31"/>
    </row>
    <row r="70" spans="1:14" ht="12.75" thickTop="1" x14ac:dyDescent="0.2">
      <c r="A70" s="67" t="s">
        <v>19</v>
      </c>
      <c r="B70" s="12"/>
      <c r="C70" s="27">
        <f>SUM(C68:C69)</f>
        <v>0</v>
      </c>
      <c r="D70" s="6"/>
      <c r="E70" s="6"/>
      <c r="F70" s="6"/>
      <c r="G70" s="6"/>
      <c r="H70" s="6"/>
      <c r="I70" s="6"/>
      <c r="J70" s="6"/>
      <c r="K70" s="6"/>
      <c r="L70" s="6"/>
      <c r="M70" s="31"/>
    </row>
    <row r="71" spans="1:14" x14ac:dyDescent="0.2">
      <c r="A71" s="68"/>
      <c r="B71" s="12"/>
      <c r="C71" s="25"/>
      <c r="D71" s="6"/>
      <c r="E71" s="6"/>
      <c r="F71" s="6"/>
      <c r="G71" s="6"/>
      <c r="H71" s="6"/>
      <c r="I71" s="6"/>
      <c r="J71" s="6"/>
      <c r="K71" s="6"/>
      <c r="L71" s="6"/>
      <c r="M71" s="31"/>
    </row>
    <row r="72" spans="1:14" ht="12.75" thickBot="1" x14ac:dyDescent="0.25">
      <c r="A72" s="68" t="s">
        <v>15</v>
      </c>
      <c r="B72" s="12">
        <v>6.4999999999999997E-3</v>
      </c>
      <c r="C72" s="28">
        <f>-C70*B72</f>
        <v>0</v>
      </c>
      <c r="D72" s="7"/>
      <c r="E72" s="7"/>
      <c r="F72" s="7"/>
      <c r="G72" s="7"/>
      <c r="H72" s="7"/>
      <c r="I72" s="7"/>
      <c r="J72" s="7"/>
      <c r="K72" s="7"/>
      <c r="L72" s="7"/>
      <c r="M72" s="32"/>
    </row>
    <row r="73" spans="1:14" ht="13.5" thickTop="1" thickBot="1" x14ac:dyDescent="0.25">
      <c r="A73" s="66" t="s">
        <v>16</v>
      </c>
      <c r="B73" s="14">
        <v>0.03</v>
      </c>
      <c r="C73" s="40">
        <f>C70*B73</f>
        <v>0</v>
      </c>
      <c r="D73" s="18"/>
      <c r="E73" s="18"/>
      <c r="F73" s="18"/>
      <c r="G73" s="18"/>
      <c r="H73" s="18"/>
      <c r="I73" s="18"/>
      <c r="J73" s="18"/>
      <c r="K73" s="18"/>
      <c r="L73" s="18"/>
      <c r="M73" s="38"/>
    </row>
    <row r="74" spans="1:14" ht="12.75" thickTop="1" x14ac:dyDescent="0.2">
      <c r="A74" s="76" t="s">
        <v>24</v>
      </c>
      <c r="B74" s="17"/>
      <c r="C74" s="26">
        <f>C72+C73</f>
        <v>0</v>
      </c>
      <c r="D74" s="47"/>
      <c r="E74" s="47"/>
      <c r="F74" s="47"/>
      <c r="G74" s="47"/>
      <c r="H74" s="47"/>
      <c r="I74" s="47"/>
      <c r="J74" s="47"/>
      <c r="K74" s="47"/>
      <c r="L74" s="47"/>
      <c r="M74" s="47"/>
    </row>
    <row r="75" spans="1:14" x14ac:dyDescent="0.2">
      <c r="A75" s="77"/>
      <c r="B75" s="45"/>
      <c r="C75" s="46"/>
      <c r="D75" s="21"/>
      <c r="E75" s="21"/>
      <c r="F75" s="21"/>
      <c r="G75" s="21"/>
      <c r="H75" s="21"/>
      <c r="I75" s="21"/>
      <c r="J75" s="21"/>
      <c r="K75" s="21"/>
      <c r="L75" s="21"/>
      <c r="M75" s="37"/>
    </row>
    <row r="76" spans="1:14" s="57" customFormat="1" x14ac:dyDescent="0.2">
      <c r="A76" s="65" t="s">
        <v>161</v>
      </c>
      <c r="B76" s="19"/>
      <c r="C76" s="23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302"/>
    </row>
    <row r="77" spans="1:14" s="57" customFormat="1" ht="12.75" thickBot="1" x14ac:dyDescent="0.25">
      <c r="A77" s="68" t="s">
        <v>60</v>
      </c>
      <c r="B77" s="159"/>
      <c r="C77" s="160"/>
      <c r="D77" s="55"/>
      <c r="E77" s="55"/>
      <c r="F77" s="55"/>
      <c r="G77" s="55"/>
      <c r="H77" s="55"/>
      <c r="I77" s="55"/>
      <c r="J77" s="55"/>
      <c r="K77" s="55"/>
      <c r="L77" s="55"/>
      <c r="M77" s="56"/>
      <c r="N77" s="302"/>
    </row>
    <row r="78" spans="1:14" ht="13.5" thickTop="1" thickBot="1" x14ac:dyDescent="0.25">
      <c r="A78" s="66"/>
      <c r="B78" s="53"/>
      <c r="C78" s="54"/>
      <c r="D78" s="6"/>
      <c r="E78" s="6"/>
      <c r="F78" s="6"/>
      <c r="G78" s="6"/>
      <c r="H78" s="6"/>
      <c r="I78" s="6"/>
      <c r="J78" s="6"/>
      <c r="K78" s="6"/>
      <c r="L78" s="6"/>
      <c r="M78" s="31"/>
    </row>
    <row r="79" spans="1:14" ht="12.75" thickTop="1" x14ac:dyDescent="0.2">
      <c r="A79" s="67" t="s">
        <v>19</v>
      </c>
      <c r="B79" s="12"/>
      <c r="C79" s="16">
        <f>SUM(C77:C78)</f>
        <v>0</v>
      </c>
      <c r="D79" s="6"/>
      <c r="E79" s="6"/>
      <c r="F79" s="6"/>
      <c r="G79" s="6"/>
      <c r="H79" s="6"/>
      <c r="I79" s="6"/>
      <c r="J79" s="6"/>
      <c r="K79" s="6"/>
      <c r="L79" s="6"/>
      <c r="M79" s="31"/>
    </row>
    <row r="80" spans="1:14" x14ac:dyDescent="0.2">
      <c r="A80" s="68"/>
      <c r="B80" s="12"/>
      <c r="C80" s="25"/>
      <c r="D80" s="6"/>
      <c r="E80" s="6"/>
      <c r="F80" s="6"/>
      <c r="G80" s="6"/>
      <c r="H80" s="6"/>
      <c r="I80" s="6"/>
      <c r="J80" s="6"/>
      <c r="K80" s="6"/>
      <c r="L80" s="6"/>
      <c r="M80" s="31"/>
    </row>
    <row r="81" spans="1:16" ht="12.75" thickBot="1" x14ac:dyDescent="0.25">
      <c r="A81" s="68" t="s">
        <v>15</v>
      </c>
      <c r="B81" s="12">
        <v>6.4999999999999997E-3</v>
      </c>
      <c r="C81" s="16">
        <f>C79*B81</f>
        <v>0</v>
      </c>
      <c r="D81" s="7"/>
      <c r="E81" s="7"/>
      <c r="F81" s="7"/>
      <c r="G81" s="7"/>
      <c r="H81" s="7"/>
      <c r="I81" s="7"/>
      <c r="J81" s="7"/>
      <c r="K81" s="7"/>
      <c r="L81" s="7"/>
      <c r="M81" s="32"/>
    </row>
    <row r="82" spans="1:16" ht="13.5" thickTop="1" thickBot="1" x14ac:dyDescent="0.25">
      <c r="A82" s="66" t="s">
        <v>16</v>
      </c>
      <c r="B82" s="14">
        <v>0.03</v>
      </c>
      <c r="C82" s="22">
        <f>C79*B82</f>
        <v>0</v>
      </c>
      <c r="D82" s="161"/>
      <c r="E82" s="161"/>
      <c r="F82" s="161"/>
      <c r="G82" s="161"/>
      <c r="H82" s="161"/>
      <c r="I82" s="18"/>
      <c r="J82" s="18"/>
      <c r="K82" s="18"/>
      <c r="L82" s="18"/>
      <c r="M82" s="38"/>
      <c r="P82" s="223"/>
    </row>
    <row r="83" spans="1:16" ht="12.75" thickTop="1" x14ac:dyDescent="0.2">
      <c r="A83" s="69" t="s">
        <v>18</v>
      </c>
      <c r="B83" s="17"/>
      <c r="C83" s="26">
        <f>C81+C82</f>
        <v>0</v>
      </c>
      <c r="D83" s="47"/>
      <c r="E83" s="47"/>
      <c r="F83" s="47"/>
      <c r="G83" s="47"/>
      <c r="H83" s="47"/>
      <c r="I83" s="47"/>
      <c r="J83" s="47"/>
      <c r="K83" s="47"/>
      <c r="L83" s="47"/>
      <c r="M83" s="47"/>
      <c r="P83" s="223"/>
    </row>
    <row r="84" spans="1:16" x14ac:dyDescent="0.2">
      <c r="A84" s="77"/>
      <c r="B84" s="45"/>
      <c r="C84" s="46"/>
      <c r="D84" s="21"/>
      <c r="E84" s="21"/>
      <c r="F84" s="21"/>
      <c r="G84" s="21"/>
      <c r="H84" s="21"/>
      <c r="I84" s="21"/>
      <c r="J84" s="21"/>
      <c r="K84" s="21"/>
      <c r="L84" s="21"/>
      <c r="M84" s="37"/>
      <c r="P84" s="223"/>
    </row>
    <row r="85" spans="1:16" s="57" customFormat="1" x14ac:dyDescent="0.2">
      <c r="A85" s="65" t="s">
        <v>160</v>
      </c>
      <c r="B85" s="19"/>
      <c r="C85" s="23"/>
      <c r="D85" s="160"/>
      <c r="E85" s="160"/>
      <c r="F85" s="160"/>
      <c r="G85" s="160"/>
      <c r="H85" s="160"/>
      <c r="I85" s="160"/>
      <c r="J85" s="160"/>
      <c r="K85" s="160"/>
      <c r="L85" s="160"/>
      <c r="M85" s="160"/>
      <c r="N85" s="302"/>
    </row>
    <row r="86" spans="1:16" s="57" customFormat="1" ht="12.75" thickBot="1" x14ac:dyDescent="0.25">
      <c r="A86" s="68" t="s">
        <v>60</v>
      </c>
      <c r="B86" s="159"/>
      <c r="C86" s="160"/>
      <c r="D86" s="55"/>
      <c r="E86" s="55"/>
      <c r="F86" s="55"/>
      <c r="G86" s="55"/>
      <c r="H86" s="55"/>
      <c r="I86" s="55"/>
      <c r="J86" s="55"/>
      <c r="K86" s="55"/>
      <c r="L86" s="55"/>
      <c r="M86" s="56"/>
      <c r="N86" s="302"/>
    </row>
    <row r="87" spans="1:16" ht="13.5" thickTop="1" thickBot="1" x14ac:dyDescent="0.25">
      <c r="A87" s="66"/>
      <c r="B87" s="53"/>
      <c r="C87" s="54"/>
      <c r="D87" s="6"/>
      <c r="E87" s="6"/>
      <c r="F87" s="6"/>
      <c r="G87" s="6"/>
      <c r="H87" s="6"/>
      <c r="I87" s="6"/>
      <c r="J87" s="6"/>
      <c r="K87" s="6"/>
      <c r="L87" s="6"/>
      <c r="M87" s="31"/>
    </row>
    <row r="88" spans="1:16" ht="12.75" thickTop="1" x14ac:dyDescent="0.2">
      <c r="A88" s="67" t="s">
        <v>19</v>
      </c>
      <c r="B88" s="12"/>
      <c r="C88" s="16">
        <f>SUM(C86:C87)</f>
        <v>0</v>
      </c>
      <c r="D88" s="6"/>
      <c r="E88" s="6"/>
      <c r="F88" s="6"/>
      <c r="G88" s="6"/>
      <c r="H88" s="6"/>
      <c r="I88" s="6"/>
      <c r="J88" s="6"/>
      <c r="K88" s="6"/>
      <c r="L88" s="6"/>
      <c r="M88" s="31"/>
    </row>
    <row r="89" spans="1:16" x14ac:dyDescent="0.2">
      <c r="A89" s="68"/>
      <c r="B89" s="12"/>
      <c r="C89" s="25"/>
      <c r="D89" s="6"/>
      <c r="E89" s="6"/>
      <c r="F89" s="6"/>
      <c r="G89" s="6"/>
      <c r="H89" s="6"/>
      <c r="I89" s="6"/>
      <c r="J89" s="6"/>
      <c r="K89" s="6"/>
      <c r="L89" s="6"/>
      <c r="M89" s="31"/>
    </row>
    <row r="90" spans="1:16" ht="12.75" thickBot="1" x14ac:dyDescent="0.25">
      <c r="A90" s="68" t="s">
        <v>15</v>
      </c>
      <c r="B90" s="12">
        <v>6.4999999999999997E-3</v>
      </c>
      <c r="C90" s="16">
        <f>C88*B90</f>
        <v>0</v>
      </c>
      <c r="D90" s="7"/>
      <c r="E90" s="7"/>
      <c r="F90" s="7"/>
      <c r="G90" s="7"/>
      <c r="H90" s="7"/>
      <c r="I90" s="7"/>
      <c r="J90" s="7"/>
      <c r="K90" s="7"/>
      <c r="L90" s="7"/>
      <c r="M90" s="32"/>
    </row>
    <row r="91" spans="1:16" ht="13.5" thickTop="1" thickBot="1" x14ac:dyDescent="0.25">
      <c r="A91" s="66" t="s">
        <v>16</v>
      </c>
      <c r="B91" s="14">
        <v>0.03</v>
      </c>
      <c r="C91" s="22">
        <f>C88*B91</f>
        <v>0</v>
      </c>
      <c r="D91" s="161"/>
      <c r="E91" s="161"/>
      <c r="F91" s="161"/>
      <c r="G91" s="161"/>
      <c r="H91" s="161"/>
      <c r="I91" s="18"/>
      <c r="J91" s="18"/>
      <c r="K91" s="18"/>
      <c r="L91" s="18"/>
      <c r="M91" s="38"/>
    </row>
    <row r="92" spans="1:16" ht="12.75" thickTop="1" x14ac:dyDescent="0.2">
      <c r="A92" s="69" t="s">
        <v>18</v>
      </c>
      <c r="B92" s="17"/>
      <c r="C92" s="26">
        <f>SUM(C90:C91)</f>
        <v>0</v>
      </c>
      <c r="D92" s="158"/>
      <c r="E92" s="158"/>
      <c r="F92" s="158"/>
      <c r="G92" s="158"/>
      <c r="H92" s="158"/>
      <c r="I92" s="158"/>
      <c r="J92" s="158"/>
      <c r="K92" s="158"/>
      <c r="L92" s="158"/>
      <c r="M92" s="158"/>
    </row>
    <row r="93" spans="1:16" s="131" customFormat="1" x14ac:dyDescent="0.2">
      <c r="A93" s="141"/>
      <c r="B93" s="156"/>
      <c r="C93" s="157"/>
      <c r="D93" s="128"/>
      <c r="E93" s="128"/>
      <c r="F93" s="128"/>
      <c r="G93" s="128"/>
      <c r="H93" s="128"/>
      <c r="I93" s="128"/>
      <c r="J93" s="128"/>
      <c r="K93" s="128"/>
      <c r="L93" s="128"/>
      <c r="M93" s="130"/>
      <c r="N93" s="305"/>
    </row>
    <row r="94" spans="1:16" x14ac:dyDescent="0.2">
      <c r="A94" s="127" t="s">
        <v>26</v>
      </c>
      <c r="B94" s="129"/>
      <c r="C94" s="128"/>
      <c r="D94" s="6"/>
      <c r="E94" s="6"/>
      <c r="F94" s="6"/>
      <c r="G94" s="6"/>
      <c r="H94" s="6"/>
      <c r="I94" s="6"/>
      <c r="J94" s="6"/>
      <c r="K94" s="6"/>
      <c r="L94" s="6"/>
      <c r="M94" s="31"/>
    </row>
    <row r="95" spans="1:16" x14ac:dyDescent="0.2">
      <c r="A95" s="61"/>
      <c r="B95" s="12"/>
      <c r="C95" s="16"/>
      <c r="D95" s="6"/>
      <c r="E95" s="6"/>
      <c r="F95" s="6"/>
      <c r="G95" s="6"/>
      <c r="H95" s="6"/>
      <c r="I95" s="6"/>
      <c r="J95" s="6"/>
      <c r="K95" s="6"/>
      <c r="L95" s="6"/>
      <c r="M95" s="31"/>
      <c r="O95" s="223"/>
    </row>
    <row r="96" spans="1:16" ht="12.75" thickBot="1" x14ac:dyDescent="0.25">
      <c r="A96" s="68" t="s">
        <v>15</v>
      </c>
      <c r="B96" s="12"/>
      <c r="C96" s="6">
        <f>C13+C72</f>
        <v>0</v>
      </c>
      <c r="D96" s="7"/>
      <c r="E96" s="7"/>
      <c r="F96" s="7"/>
      <c r="G96" s="7"/>
      <c r="H96" s="7"/>
      <c r="I96" s="7"/>
      <c r="J96" s="7"/>
      <c r="K96" s="7"/>
      <c r="L96" s="7"/>
      <c r="M96" s="32"/>
      <c r="O96" s="223"/>
    </row>
    <row r="97" spans="1:21" ht="13.5" thickTop="1" thickBot="1" x14ac:dyDescent="0.25">
      <c r="A97" s="66" t="s">
        <v>16</v>
      </c>
      <c r="B97" s="14"/>
      <c r="C97" s="7">
        <f>C14+C73</f>
        <v>0</v>
      </c>
      <c r="D97" s="6"/>
      <c r="E97" s="6"/>
      <c r="F97" s="6"/>
      <c r="G97" s="6"/>
      <c r="H97" s="6"/>
      <c r="I97" s="6"/>
      <c r="J97" s="6"/>
      <c r="K97" s="6"/>
      <c r="L97" s="6"/>
      <c r="M97" s="31"/>
    </row>
    <row r="98" spans="1:21" ht="12.75" thickTop="1" x14ac:dyDescent="0.2">
      <c r="A98" s="78" t="s">
        <v>17</v>
      </c>
      <c r="B98" s="12"/>
      <c r="C98" s="24">
        <f>C97+C96</f>
        <v>0</v>
      </c>
      <c r="D98" s="6"/>
      <c r="E98" s="6"/>
      <c r="F98" s="6"/>
      <c r="G98" s="6"/>
      <c r="H98" s="6"/>
      <c r="I98" s="6"/>
      <c r="J98" s="6"/>
      <c r="K98" s="6"/>
      <c r="L98" s="6"/>
      <c r="M98" s="31"/>
    </row>
    <row r="99" spans="1:21" s="113" customFormat="1" x14ac:dyDescent="0.2">
      <c r="A99" s="61"/>
      <c r="B99" s="12"/>
      <c r="C99" s="16"/>
      <c r="D99" s="122"/>
      <c r="E99" s="122"/>
      <c r="F99" s="122"/>
      <c r="G99" s="122"/>
      <c r="H99" s="122"/>
      <c r="I99" s="122"/>
      <c r="J99" s="122"/>
      <c r="K99" s="122"/>
      <c r="L99" s="122"/>
      <c r="M99" s="123"/>
      <c r="N99" s="290"/>
    </row>
    <row r="100" spans="1:21" s="113" customFormat="1" ht="12.75" thickBot="1" x14ac:dyDescent="0.25">
      <c r="A100" s="121" t="s">
        <v>15</v>
      </c>
      <c r="B100" s="110"/>
      <c r="C100" s="122">
        <f>(-C55-C63)+C90</f>
        <v>0</v>
      </c>
      <c r="D100" s="125"/>
      <c r="E100" s="125"/>
      <c r="F100" s="125"/>
      <c r="G100" s="125"/>
      <c r="H100" s="125"/>
      <c r="I100" s="125"/>
      <c r="J100" s="125"/>
      <c r="K100" s="125"/>
      <c r="L100" s="125"/>
      <c r="M100" s="126"/>
      <c r="N100" s="290"/>
    </row>
    <row r="101" spans="1:21" s="113" customFormat="1" ht="13.5" thickTop="1" thickBot="1" x14ac:dyDescent="0.25">
      <c r="A101" s="124" t="s">
        <v>16</v>
      </c>
      <c r="B101" s="115"/>
      <c r="C101" s="125">
        <f>(-C56-C64)+C91</f>
        <v>0</v>
      </c>
      <c r="D101" s="122"/>
      <c r="E101" s="122"/>
      <c r="F101" s="122"/>
      <c r="G101" s="122"/>
      <c r="H101" s="122"/>
      <c r="I101" s="122"/>
      <c r="J101" s="122"/>
      <c r="K101" s="122"/>
      <c r="L101" s="122"/>
      <c r="M101" s="123"/>
      <c r="N101" s="290"/>
    </row>
    <row r="102" spans="1:21" s="113" customFormat="1" ht="12.75" thickTop="1" x14ac:dyDescent="0.2">
      <c r="A102" s="118" t="s">
        <v>27</v>
      </c>
      <c r="B102" s="110"/>
      <c r="C102" s="119">
        <f>C100+C101</f>
        <v>0</v>
      </c>
      <c r="D102" s="122"/>
      <c r="E102" s="122"/>
      <c r="F102" s="122"/>
      <c r="G102" s="122"/>
      <c r="H102" s="122"/>
      <c r="I102" s="122"/>
      <c r="J102" s="122"/>
      <c r="K102" s="122"/>
      <c r="L102" s="122"/>
      <c r="M102" s="123"/>
      <c r="N102" s="290"/>
    </row>
    <row r="103" spans="1:21" s="113" customFormat="1" x14ac:dyDescent="0.2">
      <c r="A103" s="109"/>
      <c r="B103" s="110"/>
      <c r="C103" s="111"/>
      <c r="D103" s="122"/>
      <c r="E103" s="122"/>
      <c r="F103" s="122"/>
      <c r="G103" s="122"/>
      <c r="H103" s="122"/>
      <c r="I103" s="122"/>
      <c r="J103" s="122"/>
      <c r="K103" s="122"/>
      <c r="L103" s="122"/>
      <c r="M103" s="123"/>
      <c r="N103" s="290"/>
    </row>
    <row r="104" spans="1:21" s="113" customFormat="1" ht="12.75" thickBot="1" x14ac:dyDescent="0.25">
      <c r="A104" s="121" t="s">
        <v>15</v>
      </c>
      <c r="B104" s="110"/>
      <c r="C104" s="122"/>
      <c r="D104" s="125"/>
      <c r="E104" s="125"/>
      <c r="F104" s="125"/>
      <c r="G104" s="125"/>
      <c r="H104" s="125"/>
      <c r="I104" s="125"/>
      <c r="J104" s="125"/>
      <c r="K104" s="125"/>
      <c r="L104" s="125"/>
      <c r="M104" s="126"/>
      <c r="N104" s="290"/>
    </row>
    <row r="105" spans="1:21" ht="13.5" thickTop="1" thickBot="1" x14ac:dyDescent="0.25">
      <c r="A105" s="124" t="s">
        <v>16</v>
      </c>
      <c r="B105" s="115"/>
      <c r="C105" s="125"/>
    </row>
    <row r="106" spans="1:21" s="113" customFormat="1" ht="12.75" thickTop="1" x14ac:dyDescent="0.2">
      <c r="A106" s="80"/>
      <c r="B106" s="15"/>
      <c r="C106" s="29"/>
      <c r="D106" s="283"/>
      <c r="E106" s="283"/>
      <c r="F106" s="283"/>
      <c r="G106" s="283"/>
      <c r="H106" s="283"/>
      <c r="I106" s="283"/>
      <c r="J106" s="283"/>
      <c r="K106" s="283"/>
      <c r="L106" s="283"/>
      <c r="M106" s="284"/>
      <c r="N106" s="290"/>
    </row>
    <row r="107" spans="1:21" x14ac:dyDescent="0.2">
      <c r="A107" s="280" t="s">
        <v>139</v>
      </c>
      <c r="B107" s="281"/>
      <c r="C107" s="282">
        <v>0</v>
      </c>
      <c r="D107" s="6"/>
      <c r="E107" s="6"/>
      <c r="F107" s="6"/>
      <c r="G107" s="6"/>
      <c r="H107" s="6"/>
      <c r="I107" s="6"/>
      <c r="J107" s="6"/>
      <c r="K107" s="6"/>
      <c r="L107" s="6"/>
      <c r="M107" s="31"/>
    </row>
    <row r="108" spans="1:21" x14ac:dyDescent="0.2">
      <c r="A108" s="61"/>
      <c r="B108" s="12"/>
      <c r="C108" s="16"/>
      <c r="D108" s="6"/>
      <c r="E108" s="6"/>
      <c r="F108" s="6"/>
      <c r="G108" s="6"/>
      <c r="H108" s="6"/>
      <c r="I108" s="6"/>
      <c r="J108" s="6"/>
      <c r="K108" s="6"/>
      <c r="L108" s="6"/>
      <c r="M108" s="31"/>
    </row>
    <row r="109" spans="1:21" ht="12.75" thickBot="1" x14ac:dyDescent="0.25">
      <c r="A109" s="68" t="s">
        <v>15</v>
      </c>
      <c r="B109" s="12"/>
      <c r="C109" s="6">
        <f>C96+C100+C104</f>
        <v>0</v>
      </c>
      <c r="D109" s="7"/>
      <c r="E109" s="7"/>
      <c r="F109" s="7"/>
      <c r="G109" s="7"/>
      <c r="H109" s="7"/>
      <c r="I109" s="7"/>
      <c r="J109" s="7"/>
      <c r="K109" s="7"/>
      <c r="L109" s="7"/>
      <c r="M109" s="32"/>
    </row>
    <row r="110" spans="1:21" ht="16.5" thickTop="1" thickBot="1" x14ac:dyDescent="0.3">
      <c r="A110" s="66" t="s">
        <v>16</v>
      </c>
      <c r="B110" s="14"/>
      <c r="C110" s="7">
        <f>C97+C101+C105</f>
        <v>0</v>
      </c>
      <c r="D110" s="161"/>
      <c r="E110" s="161"/>
      <c r="F110" s="161"/>
      <c r="G110" s="161"/>
      <c r="H110" s="161"/>
      <c r="I110" s="161"/>
      <c r="J110" s="161"/>
      <c r="K110" s="161"/>
      <c r="L110" s="161"/>
      <c r="M110" s="204"/>
      <c r="U110" s="301"/>
    </row>
    <row r="111" spans="1:21" ht="12.75" thickTop="1" x14ac:dyDescent="0.2">
      <c r="A111" s="79" t="s">
        <v>28</v>
      </c>
      <c r="B111" s="17"/>
      <c r="C111" s="26">
        <f>C110+C109</f>
        <v>0</v>
      </c>
    </row>
    <row r="112" spans="1:21" s="113" customFormat="1" x14ac:dyDescent="0.2">
      <c r="A112" s="80"/>
      <c r="B112" s="15"/>
      <c r="C112" s="29"/>
      <c r="D112" s="283"/>
      <c r="E112" s="283"/>
      <c r="F112" s="283"/>
      <c r="G112" s="283"/>
      <c r="H112" s="283"/>
      <c r="I112" s="283"/>
      <c r="J112" s="283"/>
      <c r="K112" s="283"/>
      <c r="L112" s="283"/>
      <c r="M112" s="284"/>
      <c r="N112" s="290"/>
    </row>
    <row r="113" spans="1:17" x14ac:dyDescent="0.2">
      <c r="A113" s="280" t="s">
        <v>63</v>
      </c>
      <c r="B113" s="281"/>
      <c r="C113" s="282"/>
      <c r="D113" s="6"/>
      <c r="E113" s="6"/>
      <c r="F113" s="6"/>
      <c r="G113" s="6"/>
      <c r="H113" s="6"/>
      <c r="I113" s="6"/>
      <c r="J113" s="6"/>
      <c r="K113" s="6"/>
      <c r="L113" s="6"/>
      <c r="M113" s="31"/>
    </row>
    <row r="114" spans="1:17" x14ac:dyDescent="0.2">
      <c r="A114" s="61"/>
      <c r="B114" s="12"/>
      <c r="C114" s="16"/>
      <c r="D114" s="6"/>
      <c r="E114" s="6"/>
      <c r="F114" s="6"/>
      <c r="G114" s="6"/>
      <c r="H114" s="6"/>
      <c r="I114" s="6"/>
      <c r="J114" s="6"/>
      <c r="K114" s="6"/>
      <c r="L114" s="6"/>
      <c r="M114" s="31"/>
      <c r="O114" s="290"/>
      <c r="Q114" s="223"/>
    </row>
    <row r="115" spans="1:17" ht="12.75" thickBot="1" x14ac:dyDescent="0.25">
      <c r="A115" s="68" t="s">
        <v>162</v>
      </c>
      <c r="B115" s="12"/>
      <c r="C115" s="6">
        <f>(((C8-C77)*$B$13)+C100+C104)+C72</f>
        <v>0</v>
      </c>
      <c r="D115" s="7"/>
      <c r="E115" s="7"/>
      <c r="F115" s="7"/>
      <c r="G115" s="7"/>
      <c r="H115" s="7"/>
      <c r="I115" s="7"/>
      <c r="J115" s="7"/>
      <c r="K115" s="7"/>
      <c r="L115" s="7"/>
      <c r="M115" s="32"/>
      <c r="O115" s="290"/>
      <c r="Q115" s="223"/>
    </row>
    <row r="116" spans="1:17" ht="13.5" thickTop="1" thickBot="1" x14ac:dyDescent="0.25">
      <c r="A116" s="66" t="s">
        <v>163</v>
      </c>
      <c r="B116" s="14"/>
      <c r="C116" s="7">
        <f>(((C8-C77)*$B$14)+C101+C105)+C73</f>
        <v>0</v>
      </c>
      <c r="D116" s="161"/>
      <c r="E116" s="161"/>
      <c r="F116" s="161"/>
      <c r="G116" s="161"/>
      <c r="H116" s="161"/>
      <c r="I116" s="161"/>
      <c r="J116" s="161"/>
      <c r="K116" s="161"/>
      <c r="L116" s="161"/>
      <c r="M116" s="204"/>
      <c r="O116" s="300"/>
    </row>
    <row r="117" spans="1:17" ht="12.75" thickTop="1" x14ac:dyDescent="0.2">
      <c r="A117" s="79" t="s">
        <v>28</v>
      </c>
      <c r="B117" s="17"/>
      <c r="C117" s="26">
        <f>C116+C115</f>
        <v>0</v>
      </c>
    </row>
    <row r="119" spans="1:17" x14ac:dyDescent="0.2">
      <c r="C119" s="310"/>
      <c r="E119" s="11" t="e">
        <f>D114+E114+#REF!+#REF!</f>
        <v>#REF!</v>
      </c>
      <c r="O119" s="290"/>
    </row>
    <row r="120" spans="1:17" x14ac:dyDescent="0.2">
      <c r="C120" s="310"/>
      <c r="E120" s="11">
        <v>82382.990000000005</v>
      </c>
      <c r="O120" s="290"/>
    </row>
    <row r="121" spans="1:17" x14ac:dyDescent="0.2">
      <c r="C121" s="310"/>
      <c r="E121" s="11" t="e">
        <f>E119-E120</f>
        <v>#REF!</v>
      </c>
    </row>
    <row r="122" spans="1:17" x14ac:dyDescent="0.2">
      <c r="C122" s="310"/>
    </row>
    <row r="123" spans="1:17" x14ac:dyDescent="0.2">
      <c r="C123" s="310"/>
      <c r="E123" s="11" t="e">
        <f>D115+E115+#REF!+#REF!</f>
        <v>#REF!</v>
      </c>
    </row>
    <row r="124" spans="1:17" x14ac:dyDescent="0.2">
      <c r="C124" s="310"/>
      <c r="E124" s="11">
        <v>380445.58</v>
      </c>
    </row>
    <row r="125" spans="1:17" x14ac:dyDescent="0.2">
      <c r="C125" s="310"/>
      <c r="E125" s="11" t="e">
        <f>E123-E124</f>
        <v>#REF!</v>
      </c>
    </row>
    <row r="126" spans="1:17" x14ac:dyDescent="0.2">
      <c r="C126" s="310"/>
    </row>
    <row r="127" spans="1:17" x14ac:dyDescent="0.2">
      <c r="C127" s="310"/>
    </row>
    <row r="128" spans="1:17" x14ac:dyDescent="0.2">
      <c r="C128" s="310"/>
    </row>
    <row r="129" spans="2:18" x14ac:dyDescent="0.2">
      <c r="B129" s="168"/>
      <c r="C129" s="311"/>
      <c r="O129" s="290"/>
      <c r="Q129" s="290"/>
      <c r="R129" s="300"/>
    </row>
    <row r="130" spans="2:18" x14ac:dyDescent="0.2">
      <c r="C130" s="310"/>
      <c r="O130" s="290"/>
      <c r="Q130" s="290"/>
      <c r="R130" s="300"/>
    </row>
    <row r="131" spans="2:18" x14ac:dyDescent="0.2">
      <c r="C131" s="310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B4:N18"/>
  <sheetViews>
    <sheetView showGridLines="0" workbookViewId="0">
      <selection activeCell="C29" sqref="C29"/>
    </sheetView>
  </sheetViews>
  <sheetFormatPr defaultRowHeight="15" x14ac:dyDescent="0.25"/>
  <cols>
    <col min="2" max="2" width="18.42578125" customWidth="1"/>
    <col min="3" max="3" width="36.85546875" customWidth="1"/>
    <col min="4" max="4" width="13.85546875" bestFit="1" customWidth="1"/>
    <col min="5" max="5" width="14.42578125" bestFit="1" customWidth="1"/>
    <col min="6" max="6" width="8" bestFit="1" customWidth="1"/>
    <col min="7" max="7" width="12.28515625" bestFit="1" customWidth="1"/>
    <col min="8" max="8" width="14.42578125" bestFit="1" customWidth="1"/>
    <col min="9" max="9" width="10.85546875" bestFit="1" customWidth="1"/>
    <col min="10" max="10" width="13.42578125" bestFit="1" customWidth="1"/>
    <col min="11" max="11" width="17.7109375" bestFit="1" customWidth="1"/>
    <col min="12" max="12" width="14.42578125" bestFit="1" customWidth="1"/>
    <col min="13" max="13" width="9.85546875" bestFit="1" customWidth="1"/>
    <col min="14" max="14" width="10.140625" bestFit="1" customWidth="1"/>
  </cols>
  <sheetData>
    <row r="4" spans="2:14" x14ac:dyDescent="0.25">
      <c r="B4" s="333" t="s">
        <v>91</v>
      </c>
      <c r="C4" s="333"/>
      <c r="D4" s="215" t="s">
        <v>140</v>
      </c>
      <c r="E4" s="285" t="s">
        <v>132</v>
      </c>
      <c r="F4" s="285" t="s">
        <v>141</v>
      </c>
      <c r="G4" s="285" t="s">
        <v>134</v>
      </c>
      <c r="H4" s="285" t="s">
        <v>102</v>
      </c>
      <c r="I4" s="285" t="s">
        <v>142</v>
      </c>
      <c r="J4" s="285" t="s">
        <v>104</v>
      </c>
      <c r="K4" s="285" t="s">
        <v>143</v>
      </c>
      <c r="L4" s="285" t="s">
        <v>144</v>
      </c>
      <c r="M4" s="285" t="s">
        <v>145</v>
      </c>
      <c r="N4" s="285" t="s">
        <v>146</v>
      </c>
    </row>
    <row r="5" spans="2:14" x14ac:dyDescent="0.25">
      <c r="B5" s="334" t="s">
        <v>147</v>
      </c>
      <c r="C5" s="335"/>
      <c r="D5" s="286" t="s">
        <v>148</v>
      </c>
      <c r="E5" s="201">
        <v>9441.65</v>
      </c>
      <c r="F5" s="149">
        <v>1.6500000000000001E-2</v>
      </c>
      <c r="G5" s="193">
        <f>E5*F5</f>
        <v>155.78722500000001</v>
      </c>
      <c r="H5" s="201">
        <f>E5</f>
        <v>9441.65</v>
      </c>
      <c r="I5" s="149">
        <v>7.5999999999999998E-2</v>
      </c>
      <c r="J5" s="193">
        <f>H5*I5</f>
        <v>717.56539999999995</v>
      </c>
      <c r="K5" s="193">
        <f>J5+G5</f>
        <v>873.35262499999999</v>
      </c>
      <c r="L5" s="193">
        <f>E5</f>
        <v>9441.65</v>
      </c>
      <c r="M5" s="193">
        <v>0</v>
      </c>
      <c r="N5" s="193">
        <v>0</v>
      </c>
    </row>
    <row r="6" spans="2:14" x14ac:dyDescent="0.25">
      <c r="B6" s="334" t="s">
        <v>149</v>
      </c>
      <c r="C6" s="335"/>
      <c r="D6" s="286" t="s">
        <v>150</v>
      </c>
      <c r="E6" s="201">
        <v>132586.78</v>
      </c>
      <c r="F6" s="149">
        <v>1.6500000000000001E-2</v>
      </c>
      <c r="G6" s="193">
        <f>E6*F6</f>
        <v>2187.6818699999999</v>
      </c>
      <c r="H6" s="201">
        <f>E6</f>
        <v>132586.78</v>
      </c>
      <c r="I6" s="149">
        <v>7.5999999999999998E-2</v>
      </c>
      <c r="J6" s="193">
        <f>H6*I6</f>
        <v>10076.59528</v>
      </c>
      <c r="K6" s="193">
        <f>J6+G6</f>
        <v>12264.27715</v>
      </c>
      <c r="L6" s="193">
        <f>E6</f>
        <v>132586.78</v>
      </c>
      <c r="M6" s="193">
        <v>0</v>
      </c>
      <c r="N6" s="193">
        <v>0</v>
      </c>
    </row>
    <row r="7" spans="2:14" x14ac:dyDescent="0.25">
      <c r="B7" s="334" t="s">
        <v>151</v>
      </c>
      <c r="C7" s="335"/>
      <c r="D7" s="286" t="s">
        <v>152</v>
      </c>
      <c r="E7" s="201">
        <v>21644.309999999998</v>
      </c>
      <c r="F7" s="149">
        <v>1.6500000000000001E-2</v>
      </c>
      <c r="G7" s="193">
        <f>E7*F7</f>
        <v>357.13111499999997</v>
      </c>
      <c r="H7" s="201">
        <f>E7</f>
        <v>21644.309999999998</v>
      </c>
      <c r="I7" s="149">
        <v>7.5999999999999998E-2</v>
      </c>
      <c r="J7" s="193">
        <f>H7*I7</f>
        <v>1644.9675599999998</v>
      </c>
      <c r="K7" s="193">
        <f>J7+G7</f>
        <v>2002.0986749999997</v>
      </c>
      <c r="L7" s="193">
        <f>E7</f>
        <v>21644.309999999998</v>
      </c>
      <c r="M7" s="193">
        <v>0</v>
      </c>
      <c r="N7" s="193">
        <v>0</v>
      </c>
    </row>
    <row r="8" spans="2:14" x14ac:dyDescent="0.25">
      <c r="B8" s="336"/>
      <c r="C8" s="336"/>
      <c r="D8" s="193"/>
      <c r="E8" s="193"/>
      <c r="F8" s="149"/>
      <c r="G8" s="193"/>
      <c r="H8" s="193"/>
      <c r="I8" s="149"/>
      <c r="J8" s="193"/>
      <c r="K8" s="193"/>
      <c r="L8" s="193"/>
      <c r="M8" s="193"/>
      <c r="N8" s="193"/>
    </row>
    <row r="9" spans="2:14" x14ac:dyDescent="0.25">
      <c r="D9" s="215" t="s">
        <v>19</v>
      </c>
      <c r="E9" s="287">
        <f>SUM(E4:E8)</f>
        <v>163672.74</v>
      </c>
      <c r="F9" s="205" t="s">
        <v>49</v>
      </c>
      <c r="G9" s="287">
        <f>SUM(G4:G8)</f>
        <v>2700.6002100000001</v>
      </c>
      <c r="H9" s="287">
        <f>SUM(H4:H8)</f>
        <v>163672.74</v>
      </c>
      <c r="I9" s="205" t="s">
        <v>49</v>
      </c>
      <c r="J9" s="287">
        <f>SUM(J4:J8)</f>
        <v>12439.128239999998</v>
      </c>
      <c r="K9" s="287">
        <f>SUM(K4:K8)</f>
        <v>15139.728449999999</v>
      </c>
      <c r="L9" s="287">
        <f>SUM(L4:L8)</f>
        <v>163672.74</v>
      </c>
      <c r="M9" s="287">
        <f>SUM(M4:M8)</f>
        <v>0</v>
      </c>
      <c r="N9" s="287">
        <f>SUM(N4:N8)</f>
        <v>0</v>
      </c>
    </row>
    <row r="12" spans="2:14" x14ac:dyDescent="0.25">
      <c r="D12" s="333" t="s">
        <v>153</v>
      </c>
      <c r="E12" s="333"/>
      <c r="F12" s="333"/>
      <c r="G12" s="333"/>
      <c r="H12" s="333"/>
      <c r="I12" s="333"/>
      <c r="J12" s="333"/>
      <c r="K12" s="333"/>
      <c r="L12" s="333"/>
      <c r="M12" s="333"/>
      <c r="N12" s="333"/>
    </row>
    <row r="13" spans="2:14" x14ac:dyDescent="0.25">
      <c r="B13" s="333" t="s">
        <v>91</v>
      </c>
      <c r="C13" s="333"/>
      <c r="D13" s="215" t="s">
        <v>140</v>
      </c>
      <c r="E13" s="285" t="s">
        <v>132</v>
      </c>
      <c r="F13" s="285" t="s">
        <v>141</v>
      </c>
      <c r="G13" s="285" t="s">
        <v>134</v>
      </c>
      <c r="H13" s="285" t="s">
        <v>102</v>
      </c>
      <c r="I13" s="285" t="s">
        <v>142</v>
      </c>
      <c r="J13" s="285" t="s">
        <v>104</v>
      </c>
      <c r="K13" s="285" t="s">
        <v>143</v>
      </c>
      <c r="L13" s="285" t="s">
        <v>144</v>
      </c>
      <c r="M13" s="285" t="s">
        <v>145</v>
      </c>
      <c r="N13" s="285" t="s">
        <v>146</v>
      </c>
    </row>
    <row r="14" spans="2:14" x14ac:dyDescent="0.25">
      <c r="B14" s="334" t="s">
        <v>154</v>
      </c>
      <c r="C14" s="335"/>
      <c r="D14" s="286" t="s">
        <v>155</v>
      </c>
      <c r="E14" s="201">
        <v>3.21</v>
      </c>
      <c r="F14" s="149">
        <v>1.6500000000000001E-2</v>
      </c>
      <c r="G14" s="148">
        <f>E14*F14</f>
        <v>5.2965000000000005E-2</v>
      </c>
      <c r="H14" s="201">
        <f>E14</f>
        <v>3.21</v>
      </c>
      <c r="I14" s="149">
        <v>7.5999999999999998E-2</v>
      </c>
      <c r="J14" s="148">
        <f>H14*I14</f>
        <v>0.24395999999999998</v>
      </c>
      <c r="K14" s="148">
        <f>J14+G14</f>
        <v>0.29692499999999999</v>
      </c>
      <c r="L14" s="148">
        <f>E14</f>
        <v>3.21</v>
      </c>
      <c r="M14" s="148">
        <v>0</v>
      </c>
      <c r="N14" s="148">
        <v>0</v>
      </c>
    </row>
    <row r="15" spans="2:14" x14ac:dyDescent="0.25">
      <c r="B15" s="334" t="s">
        <v>156</v>
      </c>
      <c r="C15" s="335"/>
      <c r="D15" s="286" t="s">
        <v>157</v>
      </c>
      <c r="E15" s="201">
        <v>2042.38</v>
      </c>
      <c r="F15" s="149">
        <v>1.6500000000000001E-2</v>
      </c>
      <c r="G15" s="148">
        <f>E15*F15</f>
        <v>33.699270000000006</v>
      </c>
      <c r="H15" s="201">
        <f>E15</f>
        <v>2042.38</v>
      </c>
      <c r="I15" s="149">
        <v>7.5999999999999998E-2</v>
      </c>
      <c r="J15" s="148">
        <f>H15*I15</f>
        <v>155.22087999999999</v>
      </c>
      <c r="K15" s="148">
        <f>J15+G15</f>
        <v>188.92015000000001</v>
      </c>
      <c r="L15" s="148">
        <f>E15</f>
        <v>2042.38</v>
      </c>
      <c r="M15" s="148">
        <v>0</v>
      </c>
      <c r="N15" s="148">
        <v>0</v>
      </c>
    </row>
    <row r="16" spans="2:14" x14ac:dyDescent="0.25">
      <c r="B16" s="334" t="s">
        <v>158</v>
      </c>
      <c r="C16" s="335"/>
      <c r="D16" s="286" t="s">
        <v>159</v>
      </c>
      <c r="E16" s="201">
        <v>2.61</v>
      </c>
      <c r="F16" s="149">
        <v>1.6500000000000001E-2</v>
      </c>
      <c r="G16" s="148">
        <f>E16*F16</f>
        <v>4.3064999999999999E-2</v>
      </c>
      <c r="H16" s="201">
        <f>E16</f>
        <v>2.61</v>
      </c>
      <c r="I16" s="149">
        <v>7.5999999999999998E-2</v>
      </c>
      <c r="J16" s="148">
        <f>H16*I16</f>
        <v>0.19835999999999998</v>
      </c>
      <c r="K16" s="148">
        <f>J16+G16</f>
        <v>0.24142499999999997</v>
      </c>
      <c r="L16" s="148">
        <f>E16</f>
        <v>2.61</v>
      </c>
      <c r="M16" s="148">
        <v>0</v>
      </c>
      <c r="N16" s="148">
        <v>0</v>
      </c>
    </row>
    <row r="17" spans="2:14" x14ac:dyDescent="0.25">
      <c r="B17" s="335"/>
      <c r="C17" s="335"/>
      <c r="D17" s="193"/>
      <c r="E17" s="148"/>
      <c r="F17" s="149"/>
      <c r="G17" s="193"/>
      <c r="H17" s="201"/>
      <c r="I17" s="149"/>
      <c r="J17" s="148"/>
      <c r="K17" s="148"/>
      <c r="L17" s="148"/>
      <c r="M17" s="148"/>
      <c r="N17" s="148"/>
    </row>
    <row r="18" spans="2:14" x14ac:dyDescent="0.25">
      <c r="D18" s="215" t="s">
        <v>19</v>
      </c>
      <c r="E18" s="287">
        <f>SUM(E13:E17)</f>
        <v>2048.2000000000003</v>
      </c>
      <c r="F18" s="205" t="s">
        <v>49</v>
      </c>
      <c r="G18" s="287">
        <f>SUM(G13:G17)</f>
        <v>33.795300000000005</v>
      </c>
      <c r="H18" s="287">
        <f>SUM(H13:H17)</f>
        <v>2048.2000000000003</v>
      </c>
      <c r="I18" s="205" t="s">
        <v>49</v>
      </c>
      <c r="J18" s="287">
        <f>SUM(J13:J17)</f>
        <v>155.66319999999999</v>
      </c>
      <c r="K18" s="287">
        <f>SUM(K13:K17)</f>
        <v>189.45849999999999</v>
      </c>
      <c r="L18" s="287">
        <f>SUM(L13:L17)</f>
        <v>2048.2000000000003</v>
      </c>
      <c r="M18" s="287">
        <f>SUM(M13:M17)</f>
        <v>0</v>
      </c>
      <c r="N18" s="287">
        <f>SUM(N13:N17)</f>
        <v>0</v>
      </c>
    </row>
  </sheetData>
  <mergeCells count="11">
    <mergeCell ref="B13:C13"/>
    <mergeCell ref="B14:C14"/>
    <mergeCell ref="B15:C15"/>
    <mergeCell ref="B16:C16"/>
    <mergeCell ref="B17:C17"/>
    <mergeCell ref="D12:N12"/>
    <mergeCell ref="B4:C4"/>
    <mergeCell ref="B5:C5"/>
    <mergeCell ref="B6:C6"/>
    <mergeCell ref="B7:C7"/>
    <mergeCell ref="B8:C8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"/>
  <sheetViews>
    <sheetView showGridLines="0" workbookViewId="0">
      <selection activeCell="I3" sqref="A1:I1048576"/>
    </sheetView>
  </sheetViews>
  <sheetFormatPr defaultColWidth="8.85546875" defaultRowHeight="12.75" x14ac:dyDescent="0.2"/>
  <cols>
    <col min="1" max="16384" width="8.85546875" style="225"/>
  </cols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AM4942"/>
  <sheetViews>
    <sheetView topLeftCell="Q1" workbookViewId="0">
      <selection activeCell="I3" sqref="A1:I1048576"/>
    </sheetView>
  </sheetViews>
  <sheetFormatPr defaultColWidth="8.85546875" defaultRowHeight="15" x14ac:dyDescent="0.25"/>
  <cols>
    <col min="1" max="1" width="8.7109375" style="226" bestFit="1" customWidth="1"/>
    <col min="2" max="2" width="9.42578125" style="226" bestFit="1" customWidth="1"/>
    <col min="3" max="3" width="10.7109375" style="226" bestFit="1" customWidth="1"/>
    <col min="4" max="4" width="5.42578125" style="226" bestFit="1" customWidth="1"/>
    <col min="5" max="5" width="10.140625" style="226" bestFit="1" customWidth="1"/>
    <col min="6" max="6" width="12.42578125" style="226" bestFit="1" customWidth="1"/>
    <col min="7" max="7" width="10.140625" style="226" bestFit="1" customWidth="1"/>
    <col min="8" max="8" width="9.140625" style="226" bestFit="1" customWidth="1"/>
    <col min="9" max="9" width="11.42578125" style="226" bestFit="1" customWidth="1"/>
    <col min="10" max="10" width="6.140625" style="226" bestFit="1" customWidth="1"/>
    <col min="11" max="11" width="9" style="226" bestFit="1" customWidth="1"/>
    <col min="12" max="12" width="7.85546875" style="226" bestFit="1" customWidth="1"/>
    <col min="13" max="13" width="10.7109375" style="226" bestFit="1" customWidth="1"/>
    <col min="14" max="14" width="11.7109375" style="226" bestFit="1" customWidth="1"/>
    <col min="15" max="15" width="10.5703125" style="226" bestFit="1" customWidth="1"/>
    <col min="16" max="16" width="10.85546875" style="226" bestFit="1" customWidth="1"/>
    <col min="17" max="17" width="18.140625" style="226" bestFit="1" customWidth="1"/>
    <col min="18" max="18" width="19.28515625" style="226" bestFit="1" customWidth="1"/>
    <col min="19" max="19" width="19.5703125" style="226" bestFit="1" customWidth="1"/>
    <col min="20" max="20" width="16.7109375" style="226" bestFit="1" customWidth="1"/>
    <col min="21" max="21" width="52.85546875" style="226" bestFit="1" customWidth="1"/>
    <col min="22" max="22" width="9" style="226" bestFit="1" customWidth="1"/>
    <col min="23" max="24" width="22.140625" style="226" bestFit="1" customWidth="1"/>
    <col min="25" max="25" width="16" style="226" bestFit="1" customWidth="1"/>
    <col min="26" max="26" width="15.28515625" style="226" bestFit="1" customWidth="1"/>
    <col min="27" max="27" width="16" style="226" bestFit="1" customWidth="1"/>
    <col min="28" max="28" width="16.28515625" style="226" bestFit="1" customWidth="1"/>
    <col min="29" max="29" width="14.42578125" style="226" bestFit="1" customWidth="1"/>
    <col min="30" max="30" width="16" style="226" bestFit="1" customWidth="1"/>
    <col min="31" max="31" width="18.7109375" style="226" bestFit="1" customWidth="1"/>
    <col min="32" max="32" width="22.5703125" style="226" bestFit="1" customWidth="1"/>
    <col min="33" max="33" width="18.28515625" style="226" bestFit="1" customWidth="1"/>
    <col min="34" max="34" width="22.5703125" style="226" bestFit="1" customWidth="1"/>
    <col min="35" max="35" width="2.140625" style="226" customWidth="1"/>
    <col min="36" max="36" width="16.7109375" style="226" customWidth="1"/>
    <col min="37" max="37" width="17.42578125" style="226" bestFit="1" customWidth="1"/>
    <col min="38" max="39" width="10.7109375" style="227" customWidth="1"/>
    <col min="40" max="16384" width="8.85546875" style="226"/>
  </cols>
  <sheetData>
    <row r="1" spans="1:39" x14ac:dyDescent="0.25">
      <c r="A1" s="338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</row>
    <row r="2" spans="1:39" x14ac:dyDescent="0.25">
      <c r="A2" s="338"/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</row>
    <row r="3" spans="1:39" x14ac:dyDescent="0.25">
      <c r="A3" s="338"/>
      <c r="B3" s="339"/>
      <c r="C3" s="339"/>
      <c r="D3" s="339"/>
      <c r="M3" s="340"/>
      <c r="N3" s="339"/>
      <c r="O3" s="339"/>
    </row>
    <row r="4" spans="1:39" x14ac:dyDescent="0.25">
      <c r="A4" s="341"/>
      <c r="B4" s="342"/>
      <c r="C4" s="342"/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2"/>
      <c r="O4" s="342"/>
    </row>
    <row r="5" spans="1:39" ht="15.75" thickBot="1" x14ac:dyDescent="0.3"/>
    <row r="6" spans="1:39" ht="13.5" thickBot="1" x14ac:dyDescent="0.25">
      <c r="A6" s="229"/>
      <c r="B6" s="229"/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30"/>
      <c r="T6" s="231"/>
      <c r="U6" s="231"/>
      <c r="V6" s="231"/>
      <c r="W6" s="231"/>
      <c r="X6" s="231"/>
      <c r="Y6" s="231"/>
      <c r="Z6" s="231"/>
      <c r="AA6" s="231"/>
      <c r="AB6" s="231"/>
      <c r="AC6" s="231"/>
      <c r="AD6" s="231"/>
      <c r="AE6" s="231"/>
      <c r="AF6" s="231"/>
      <c r="AG6" s="231"/>
      <c r="AH6" s="231"/>
      <c r="AJ6" s="232"/>
      <c r="AK6" s="233"/>
      <c r="AL6" s="234"/>
      <c r="AM6" s="235"/>
    </row>
    <row r="7" spans="1:39" ht="12.75" x14ac:dyDescent="0.2">
      <c r="A7" s="236"/>
      <c r="B7" s="236"/>
      <c r="C7" s="236"/>
      <c r="D7" s="236"/>
      <c r="E7" s="237"/>
      <c r="G7" s="237"/>
      <c r="H7" s="237"/>
      <c r="I7" s="237"/>
      <c r="K7" s="237"/>
      <c r="N7" s="237"/>
      <c r="O7" s="237"/>
      <c r="P7" s="237"/>
      <c r="Q7" s="237"/>
      <c r="AL7" s="226"/>
      <c r="AM7" s="226"/>
    </row>
    <row r="8" spans="1:39" x14ac:dyDescent="0.25">
      <c r="AA8" s="237"/>
      <c r="AB8" s="237"/>
      <c r="AC8" s="237"/>
      <c r="AD8" s="237"/>
      <c r="AE8" s="237"/>
      <c r="AF8" s="237"/>
      <c r="AG8" s="237"/>
      <c r="AH8" s="237"/>
      <c r="AJ8" s="238"/>
    </row>
    <row r="9" spans="1:39" x14ac:dyDescent="0.25">
      <c r="AA9" s="237"/>
      <c r="AB9" s="237"/>
      <c r="AC9" s="237"/>
      <c r="AD9" s="237"/>
      <c r="AE9" s="237"/>
      <c r="AF9" s="237"/>
      <c r="AG9" s="237"/>
      <c r="AH9" s="237"/>
      <c r="AJ9" s="238"/>
    </row>
    <row r="10" spans="1:39" ht="12.75" x14ac:dyDescent="0.2">
      <c r="AL10" s="226"/>
      <c r="AM10" s="226"/>
    </row>
    <row r="11" spans="1:39" ht="12.75" x14ac:dyDescent="0.2">
      <c r="A11" s="236"/>
      <c r="B11" s="236"/>
      <c r="C11" s="236"/>
      <c r="D11" s="236"/>
      <c r="E11" s="237"/>
      <c r="G11" s="237"/>
      <c r="H11" s="237"/>
      <c r="I11" s="237"/>
      <c r="K11" s="237"/>
      <c r="N11" s="237"/>
      <c r="O11" s="237"/>
      <c r="P11" s="237"/>
      <c r="Q11" s="237"/>
      <c r="AL11" s="226"/>
      <c r="AM11" s="226"/>
    </row>
    <row r="12" spans="1:39" x14ac:dyDescent="0.25">
      <c r="AA12" s="237"/>
      <c r="AB12" s="237"/>
      <c r="AC12" s="237"/>
      <c r="AD12" s="237"/>
      <c r="AE12" s="237"/>
      <c r="AF12" s="237"/>
      <c r="AG12" s="237"/>
      <c r="AH12" s="237"/>
      <c r="AJ12" s="238"/>
    </row>
    <row r="13" spans="1:39" x14ac:dyDescent="0.25">
      <c r="AA13" s="237"/>
      <c r="AB13" s="237"/>
      <c r="AC13" s="237"/>
      <c r="AD13" s="237"/>
      <c r="AE13" s="237"/>
      <c r="AF13" s="237"/>
      <c r="AG13" s="237"/>
      <c r="AH13" s="237"/>
      <c r="AJ13" s="238"/>
    </row>
    <row r="14" spans="1:39" ht="12.75" x14ac:dyDescent="0.2">
      <c r="AL14" s="226"/>
      <c r="AM14" s="226"/>
    </row>
    <row r="15" spans="1:39" ht="12.75" x14ac:dyDescent="0.2">
      <c r="A15" s="236"/>
      <c r="B15" s="236"/>
      <c r="C15" s="236"/>
      <c r="D15" s="236"/>
      <c r="E15" s="237"/>
      <c r="G15" s="237"/>
      <c r="H15" s="237"/>
      <c r="I15" s="237"/>
      <c r="K15" s="237"/>
      <c r="N15" s="237"/>
      <c r="O15" s="237"/>
      <c r="P15" s="237"/>
      <c r="Q15" s="237"/>
      <c r="AL15" s="226"/>
      <c r="AM15" s="226"/>
    </row>
    <row r="16" spans="1:39" x14ac:dyDescent="0.25">
      <c r="AA16" s="237"/>
      <c r="AB16" s="237"/>
      <c r="AC16" s="237"/>
      <c r="AD16" s="237"/>
      <c r="AE16" s="237"/>
      <c r="AF16" s="237"/>
      <c r="AG16" s="237"/>
      <c r="AH16" s="237"/>
      <c r="AJ16" s="238"/>
    </row>
    <row r="17" spans="1:39" x14ac:dyDescent="0.25">
      <c r="AA17" s="237"/>
      <c r="AB17" s="237"/>
      <c r="AC17" s="237"/>
      <c r="AD17" s="237"/>
      <c r="AE17" s="237"/>
      <c r="AF17" s="237"/>
      <c r="AG17" s="237"/>
      <c r="AH17" s="237"/>
      <c r="AJ17" s="238"/>
    </row>
    <row r="18" spans="1:39" ht="12.75" x14ac:dyDescent="0.2">
      <c r="AL18" s="226"/>
      <c r="AM18" s="226"/>
    </row>
    <row r="19" spans="1:39" ht="12.75" x14ac:dyDescent="0.2">
      <c r="A19" s="236"/>
      <c r="B19" s="236"/>
      <c r="C19" s="236"/>
      <c r="D19" s="236"/>
      <c r="E19" s="237"/>
      <c r="G19" s="237"/>
      <c r="H19" s="237"/>
      <c r="I19" s="237"/>
      <c r="K19" s="237"/>
      <c r="N19" s="237"/>
      <c r="O19" s="237"/>
      <c r="P19" s="237"/>
      <c r="Q19" s="237"/>
      <c r="AL19" s="226"/>
      <c r="AM19" s="226"/>
    </row>
    <row r="20" spans="1:39" x14ac:dyDescent="0.25">
      <c r="AA20" s="237"/>
      <c r="AB20" s="237"/>
      <c r="AC20" s="237"/>
      <c r="AD20" s="237"/>
      <c r="AE20" s="237"/>
      <c r="AF20" s="237"/>
      <c r="AG20" s="237"/>
      <c r="AH20" s="237"/>
      <c r="AJ20" s="238"/>
    </row>
    <row r="21" spans="1:39" x14ac:dyDescent="0.25">
      <c r="AA21" s="237"/>
      <c r="AB21" s="237"/>
      <c r="AC21" s="237"/>
      <c r="AD21" s="237"/>
      <c r="AE21" s="237"/>
      <c r="AF21" s="237"/>
      <c r="AG21" s="237"/>
      <c r="AH21" s="237"/>
      <c r="AJ21" s="238"/>
    </row>
    <row r="22" spans="1:39" ht="12.75" x14ac:dyDescent="0.2">
      <c r="AL22" s="226"/>
      <c r="AM22" s="226"/>
    </row>
    <row r="23" spans="1:39" ht="12.75" x14ac:dyDescent="0.2">
      <c r="A23" s="236"/>
      <c r="B23" s="236"/>
      <c r="C23" s="236"/>
      <c r="D23" s="236"/>
      <c r="E23" s="237"/>
      <c r="G23" s="237"/>
      <c r="H23" s="237"/>
      <c r="I23" s="237"/>
      <c r="K23" s="237"/>
      <c r="N23" s="237"/>
      <c r="O23" s="237"/>
      <c r="P23" s="237"/>
      <c r="Q23" s="237"/>
      <c r="AL23" s="226"/>
      <c r="AM23" s="226"/>
    </row>
    <row r="24" spans="1:39" x14ac:dyDescent="0.25">
      <c r="AA24" s="237"/>
      <c r="AB24" s="237"/>
      <c r="AC24" s="237"/>
      <c r="AD24" s="237"/>
      <c r="AE24" s="237"/>
      <c r="AF24" s="237"/>
      <c r="AG24" s="237"/>
      <c r="AH24" s="237"/>
      <c r="AJ24" s="238"/>
    </row>
    <row r="25" spans="1:39" x14ac:dyDescent="0.25">
      <c r="AA25" s="237"/>
      <c r="AB25" s="237"/>
      <c r="AC25" s="237"/>
      <c r="AD25" s="237"/>
      <c r="AE25" s="237"/>
      <c r="AF25" s="237"/>
      <c r="AG25" s="237"/>
      <c r="AH25" s="237"/>
      <c r="AJ25" s="238"/>
    </row>
    <row r="26" spans="1:39" ht="12.75" x14ac:dyDescent="0.2">
      <c r="AL26" s="226"/>
      <c r="AM26" s="226"/>
    </row>
    <row r="27" spans="1:39" ht="12.75" x14ac:dyDescent="0.2">
      <c r="A27" s="236"/>
      <c r="B27" s="236"/>
      <c r="C27" s="236"/>
      <c r="D27" s="236"/>
      <c r="E27" s="237"/>
      <c r="G27" s="237"/>
      <c r="H27" s="237"/>
      <c r="I27" s="237"/>
      <c r="K27" s="237"/>
      <c r="N27" s="237"/>
      <c r="O27" s="237"/>
      <c r="P27" s="237"/>
      <c r="Q27" s="237"/>
      <c r="AL27" s="226"/>
      <c r="AM27" s="226"/>
    </row>
    <row r="28" spans="1:39" x14ac:dyDescent="0.25">
      <c r="AA28" s="237"/>
      <c r="AB28" s="237"/>
      <c r="AC28" s="237"/>
      <c r="AD28" s="237"/>
      <c r="AE28" s="237"/>
      <c r="AF28" s="237"/>
      <c r="AG28" s="237"/>
      <c r="AH28" s="237"/>
      <c r="AJ28" s="238"/>
    </row>
    <row r="29" spans="1:39" ht="12.75" x14ac:dyDescent="0.2">
      <c r="AL29" s="226"/>
      <c r="AM29" s="226"/>
    </row>
    <row r="30" spans="1:39" ht="12.75" x14ac:dyDescent="0.2">
      <c r="A30" s="236"/>
      <c r="B30" s="236"/>
      <c r="C30" s="236"/>
      <c r="D30" s="236"/>
      <c r="E30" s="237"/>
      <c r="G30" s="237"/>
      <c r="H30" s="237"/>
      <c r="I30" s="237"/>
      <c r="K30" s="237"/>
      <c r="N30" s="237"/>
      <c r="O30" s="237"/>
      <c r="P30" s="237"/>
      <c r="Q30" s="237"/>
      <c r="AL30" s="226"/>
      <c r="AM30" s="226"/>
    </row>
    <row r="31" spans="1:39" x14ac:dyDescent="0.25">
      <c r="AA31" s="237"/>
      <c r="AB31" s="237"/>
      <c r="AC31" s="237"/>
      <c r="AD31" s="237"/>
      <c r="AE31" s="237"/>
      <c r="AF31" s="237"/>
      <c r="AG31" s="237"/>
      <c r="AH31" s="237"/>
      <c r="AJ31" s="238"/>
    </row>
    <row r="32" spans="1:39" x14ac:dyDescent="0.25">
      <c r="AA32" s="237"/>
      <c r="AB32" s="237"/>
      <c r="AC32" s="237"/>
      <c r="AD32" s="237"/>
      <c r="AE32" s="237"/>
      <c r="AF32" s="237"/>
      <c r="AG32" s="237"/>
      <c r="AH32" s="237"/>
      <c r="AJ32" s="238"/>
    </row>
    <row r="33" spans="1:39" ht="12.75" x14ac:dyDescent="0.2">
      <c r="AL33" s="226"/>
      <c r="AM33" s="226"/>
    </row>
    <row r="34" spans="1:39" ht="12.75" x14ac:dyDescent="0.2">
      <c r="A34" s="236"/>
      <c r="B34" s="236"/>
      <c r="C34" s="236"/>
      <c r="D34" s="236"/>
      <c r="E34" s="237"/>
      <c r="G34" s="237"/>
      <c r="H34" s="237"/>
      <c r="I34" s="237"/>
      <c r="K34" s="237"/>
      <c r="N34" s="237"/>
      <c r="O34" s="237"/>
      <c r="P34" s="237"/>
      <c r="Q34" s="237"/>
      <c r="AL34" s="226"/>
      <c r="AM34" s="226"/>
    </row>
    <row r="35" spans="1:39" x14ac:dyDescent="0.25">
      <c r="AA35" s="237"/>
      <c r="AB35" s="237"/>
      <c r="AC35" s="237"/>
      <c r="AD35" s="237"/>
      <c r="AE35" s="237"/>
      <c r="AF35" s="237"/>
      <c r="AG35" s="237"/>
      <c r="AH35" s="237"/>
      <c r="AJ35" s="238"/>
    </row>
    <row r="36" spans="1:39" ht="12.75" x14ac:dyDescent="0.2">
      <c r="AL36" s="226"/>
      <c r="AM36" s="226"/>
    </row>
    <row r="37" spans="1:39" ht="12.75" x14ac:dyDescent="0.2">
      <c r="A37" s="236"/>
      <c r="B37" s="236"/>
      <c r="C37" s="236"/>
      <c r="D37" s="236"/>
      <c r="E37" s="237"/>
      <c r="G37" s="237"/>
      <c r="H37" s="237"/>
      <c r="I37" s="237"/>
      <c r="K37" s="237"/>
      <c r="N37" s="237"/>
      <c r="O37" s="237"/>
      <c r="P37" s="237"/>
      <c r="Q37" s="237"/>
      <c r="AL37" s="226"/>
      <c r="AM37" s="226"/>
    </row>
    <row r="38" spans="1:39" x14ac:dyDescent="0.25">
      <c r="AA38" s="237"/>
      <c r="AB38" s="237"/>
      <c r="AC38" s="237"/>
      <c r="AD38" s="237"/>
      <c r="AE38" s="237"/>
      <c r="AF38" s="237"/>
      <c r="AG38" s="237"/>
      <c r="AH38" s="237"/>
      <c r="AJ38" s="238"/>
    </row>
    <row r="39" spans="1:39" x14ac:dyDescent="0.25">
      <c r="AA39" s="237"/>
      <c r="AB39" s="237"/>
      <c r="AC39" s="237"/>
      <c r="AD39" s="237"/>
      <c r="AE39" s="237"/>
      <c r="AF39" s="237"/>
      <c r="AG39" s="237"/>
      <c r="AH39" s="237"/>
      <c r="AJ39" s="238"/>
    </row>
    <row r="40" spans="1:39" ht="12.75" x14ac:dyDescent="0.2">
      <c r="AL40" s="226"/>
      <c r="AM40" s="226"/>
    </row>
    <row r="41" spans="1:39" ht="12.75" x14ac:dyDescent="0.2">
      <c r="A41" s="236"/>
      <c r="B41" s="236"/>
      <c r="C41" s="236"/>
      <c r="D41" s="236"/>
      <c r="E41" s="237"/>
      <c r="G41" s="237"/>
      <c r="H41" s="237"/>
      <c r="I41" s="237"/>
      <c r="K41" s="237"/>
      <c r="N41" s="237"/>
      <c r="O41" s="237"/>
      <c r="P41" s="237"/>
      <c r="Q41" s="237"/>
      <c r="AL41" s="226"/>
      <c r="AM41" s="226"/>
    </row>
    <row r="42" spans="1:39" x14ac:dyDescent="0.25">
      <c r="AA42" s="237"/>
      <c r="AB42" s="237"/>
      <c r="AC42" s="237"/>
      <c r="AD42" s="237"/>
      <c r="AE42" s="237"/>
      <c r="AF42" s="237"/>
      <c r="AG42" s="237"/>
      <c r="AH42" s="237"/>
      <c r="AJ42" s="238"/>
    </row>
    <row r="43" spans="1:39" ht="12.75" x14ac:dyDescent="0.2">
      <c r="AL43" s="226"/>
      <c r="AM43" s="226"/>
    </row>
    <row r="44" spans="1:39" ht="12.75" x14ac:dyDescent="0.2">
      <c r="A44" s="236"/>
      <c r="B44" s="236"/>
      <c r="C44" s="236"/>
      <c r="D44" s="236"/>
      <c r="E44" s="237"/>
      <c r="G44" s="237"/>
      <c r="H44" s="237"/>
      <c r="I44" s="237"/>
      <c r="K44" s="237"/>
      <c r="N44" s="237"/>
      <c r="O44" s="237"/>
      <c r="P44" s="237"/>
      <c r="Q44" s="237"/>
      <c r="AL44" s="226"/>
      <c r="AM44" s="226"/>
    </row>
    <row r="45" spans="1:39" x14ac:dyDescent="0.25">
      <c r="AA45" s="237"/>
      <c r="AB45" s="237"/>
      <c r="AC45" s="237"/>
      <c r="AD45" s="237"/>
      <c r="AE45" s="237"/>
      <c r="AF45" s="237"/>
      <c r="AG45" s="237"/>
      <c r="AH45" s="237"/>
      <c r="AJ45" s="238"/>
    </row>
    <row r="46" spans="1:39" ht="12.75" x14ac:dyDescent="0.2">
      <c r="AL46" s="226"/>
      <c r="AM46" s="226"/>
    </row>
    <row r="47" spans="1:39" ht="12.75" x14ac:dyDescent="0.2">
      <c r="A47" s="236"/>
      <c r="B47" s="236"/>
      <c r="C47" s="236"/>
      <c r="D47" s="236"/>
      <c r="E47" s="237"/>
      <c r="G47" s="237"/>
      <c r="H47" s="237"/>
      <c r="I47" s="237"/>
      <c r="K47" s="237"/>
      <c r="N47" s="237"/>
      <c r="O47" s="237"/>
      <c r="P47" s="237"/>
      <c r="Q47" s="237"/>
      <c r="AL47" s="226"/>
      <c r="AM47" s="226"/>
    </row>
    <row r="48" spans="1:39" x14ac:dyDescent="0.25">
      <c r="AA48" s="237"/>
      <c r="AB48" s="237"/>
      <c r="AC48" s="237"/>
      <c r="AD48" s="237"/>
      <c r="AE48" s="237"/>
      <c r="AF48" s="237"/>
      <c r="AG48" s="237"/>
      <c r="AH48" s="237"/>
      <c r="AJ48" s="238"/>
    </row>
    <row r="49" spans="1:39" ht="12.75" x14ac:dyDescent="0.2">
      <c r="AL49" s="226"/>
      <c r="AM49" s="226"/>
    </row>
    <row r="50" spans="1:39" ht="12.75" x14ac:dyDescent="0.2">
      <c r="A50" s="236"/>
      <c r="B50" s="236"/>
      <c r="C50" s="236"/>
      <c r="D50" s="236"/>
      <c r="E50" s="237"/>
      <c r="G50" s="237"/>
      <c r="H50" s="237"/>
      <c r="I50" s="237"/>
      <c r="K50" s="237"/>
      <c r="N50" s="237"/>
      <c r="O50" s="237"/>
      <c r="P50" s="237"/>
      <c r="Q50" s="237"/>
      <c r="AL50" s="226"/>
      <c r="AM50" s="226"/>
    </row>
    <row r="51" spans="1:39" x14ac:dyDescent="0.25">
      <c r="AA51" s="237"/>
      <c r="AB51" s="237"/>
      <c r="AC51" s="237"/>
      <c r="AD51" s="237"/>
      <c r="AE51" s="237"/>
      <c r="AF51" s="237"/>
      <c r="AG51" s="237"/>
      <c r="AH51" s="237"/>
      <c r="AJ51" s="238"/>
    </row>
    <row r="52" spans="1:39" ht="12.75" x14ac:dyDescent="0.2">
      <c r="AL52" s="226"/>
      <c r="AM52" s="226"/>
    </row>
    <row r="53" spans="1:39" ht="12.75" x14ac:dyDescent="0.2">
      <c r="A53" s="236"/>
      <c r="B53" s="236"/>
      <c r="C53" s="236"/>
      <c r="D53" s="236"/>
      <c r="E53" s="237"/>
      <c r="G53" s="237"/>
      <c r="H53" s="237"/>
      <c r="I53" s="237"/>
      <c r="K53" s="237"/>
      <c r="N53" s="237"/>
      <c r="O53" s="237"/>
      <c r="P53" s="237"/>
      <c r="Q53" s="237"/>
      <c r="AL53" s="226"/>
      <c r="AM53" s="226"/>
    </row>
    <row r="54" spans="1:39" x14ac:dyDescent="0.25">
      <c r="AA54" s="237"/>
      <c r="AB54" s="237"/>
      <c r="AC54" s="237"/>
      <c r="AD54" s="237"/>
      <c r="AE54" s="237"/>
      <c r="AF54" s="237"/>
      <c r="AG54" s="237"/>
      <c r="AH54" s="237"/>
      <c r="AJ54" s="238"/>
    </row>
    <row r="55" spans="1:39" ht="12.75" x14ac:dyDescent="0.2">
      <c r="AL55" s="226"/>
      <c r="AM55" s="226"/>
    </row>
    <row r="56" spans="1:39" ht="12.75" x14ac:dyDescent="0.2">
      <c r="A56" s="236"/>
      <c r="B56" s="236"/>
      <c r="C56" s="236"/>
      <c r="D56" s="236"/>
      <c r="E56" s="237"/>
      <c r="G56" s="237"/>
      <c r="H56" s="237"/>
      <c r="I56" s="237"/>
      <c r="K56" s="237"/>
      <c r="N56" s="237"/>
      <c r="O56" s="237"/>
      <c r="P56" s="237"/>
      <c r="Q56" s="237"/>
      <c r="AL56" s="226"/>
      <c r="AM56" s="226"/>
    </row>
    <row r="57" spans="1:39" x14ac:dyDescent="0.25">
      <c r="AA57" s="237"/>
      <c r="AB57" s="237"/>
      <c r="AC57" s="237"/>
      <c r="AD57" s="237"/>
      <c r="AE57" s="237"/>
      <c r="AF57" s="237"/>
      <c r="AG57" s="237"/>
      <c r="AH57" s="237"/>
      <c r="AJ57" s="238"/>
    </row>
    <row r="58" spans="1:39" ht="12.75" x14ac:dyDescent="0.2">
      <c r="AL58" s="226"/>
      <c r="AM58" s="226"/>
    </row>
    <row r="59" spans="1:39" ht="12.75" x14ac:dyDescent="0.2">
      <c r="A59" s="236"/>
      <c r="B59" s="236"/>
      <c r="C59" s="236"/>
      <c r="D59" s="236"/>
      <c r="E59" s="237"/>
      <c r="G59" s="237"/>
      <c r="H59" s="237"/>
      <c r="I59" s="237"/>
      <c r="K59" s="237"/>
      <c r="N59" s="237"/>
      <c r="O59" s="237"/>
      <c r="P59" s="237"/>
      <c r="Q59" s="237"/>
      <c r="AL59" s="226"/>
      <c r="AM59" s="226"/>
    </row>
    <row r="60" spans="1:39" x14ac:dyDescent="0.25">
      <c r="AA60" s="237"/>
      <c r="AB60" s="237"/>
      <c r="AC60" s="237"/>
      <c r="AD60" s="237"/>
      <c r="AE60" s="237"/>
      <c r="AF60" s="237"/>
      <c r="AG60" s="237"/>
      <c r="AH60" s="237"/>
      <c r="AJ60" s="238"/>
    </row>
    <row r="61" spans="1:39" ht="12.75" x14ac:dyDescent="0.2">
      <c r="AL61" s="226"/>
      <c r="AM61" s="226"/>
    </row>
    <row r="62" spans="1:39" ht="12.75" x14ac:dyDescent="0.2">
      <c r="A62" s="236"/>
      <c r="B62" s="236"/>
      <c r="C62" s="236"/>
      <c r="D62" s="236"/>
      <c r="E62" s="237"/>
      <c r="G62" s="237"/>
      <c r="H62" s="237"/>
      <c r="I62" s="237"/>
      <c r="K62" s="237"/>
      <c r="N62" s="237"/>
      <c r="O62" s="237"/>
      <c r="P62" s="237"/>
      <c r="Q62" s="237"/>
      <c r="AL62" s="226"/>
      <c r="AM62" s="226"/>
    </row>
    <row r="63" spans="1:39" x14ac:dyDescent="0.25">
      <c r="AA63" s="237"/>
      <c r="AB63" s="237"/>
      <c r="AC63" s="237"/>
      <c r="AD63" s="237"/>
      <c r="AE63" s="237"/>
      <c r="AF63" s="237"/>
      <c r="AG63" s="237"/>
      <c r="AH63" s="237"/>
      <c r="AJ63" s="238"/>
    </row>
    <row r="64" spans="1:39" x14ac:dyDescent="0.25">
      <c r="AA64" s="237"/>
      <c r="AB64" s="237"/>
      <c r="AC64" s="237"/>
      <c r="AD64" s="237"/>
      <c r="AE64" s="237"/>
      <c r="AF64" s="237"/>
      <c r="AG64" s="237"/>
      <c r="AH64" s="237"/>
      <c r="AJ64" s="238"/>
    </row>
    <row r="65" spans="1:39" x14ac:dyDescent="0.25">
      <c r="AA65" s="237"/>
      <c r="AB65" s="237"/>
      <c r="AC65" s="237"/>
      <c r="AD65" s="237"/>
      <c r="AE65" s="237"/>
      <c r="AF65" s="237"/>
      <c r="AG65" s="237"/>
      <c r="AH65" s="237"/>
      <c r="AJ65" s="238"/>
    </row>
    <row r="66" spans="1:39" ht="12.75" x14ac:dyDescent="0.2">
      <c r="AL66" s="226"/>
      <c r="AM66" s="226"/>
    </row>
    <row r="67" spans="1:39" ht="12.75" x14ac:dyDescent="0.2">
      <c r="A67" s="236"/>
      <c r="B67" s="236"/>
      <c r="C67" s="236"/>
      <c r="D67" s="236"/>
      <c r="E67" s="237"/>
      <c r="G67" s="237"/>
      <c r="H67" s="237"/>
      <c r="I67" s="237"/>
      <c r="K67" s="237"/>
      <c r="N67" s="237"/>
      <c r="O67" s="237"/>
      <c r="P67" s="237"/>
      <c r="Q67" s="237"/>
      <c r="AL67" s="226"/>
      <c r="AM67" s="226"/>
    </row>
    <row r="68" spans="1:39" x14ac:dyDescent="0.25">
      <c r="AA68" s="237"/>
      <c r="AB68" s="237"/>
      <c r="AC68" s="237"/>
      <c r="AD68" s="237"/>
      <c r="AE68" s="237"/>
      <c r="AF68" s="237"/>
      <c r="AG68" s="237"/>
      <c r="AH68" s="237"/>
      <c r="AJ68" s="238"/>
    </row>
    <row r="69" spans="1:39" x14ac:dyDescent="0.25">
      <c r="AA69" s="237"/>
      <c r="AB69" s="237"/>
      <c r="AC69" s="237"/>
      <c r="AD69" s="237"/>
      <c r="AE69" s="237"/>
      <c r="AF69" s="237"/>
      <c r="AG69" s="237"/>
      <c r="AH69" s="237"/>
      <c r="AJ69" s="238"/>
    </row>
    <row r="70" spans="1:39" ht="12.75" x14ac:dyDescent="0.2">
      <c r="AL70" s="226"/>
      <c r="AM70" s="226"/>
    </row>
    <row r="71" spans="1:39" ht="12.75" x14ac:dyDescent="0.2">
      <c r="A71" s="236"/>
      <c r="B71" s="236"/>
      <c r="C71" s="236"/>
      <c r="D71" s="236"/>
      <c r="E71" s="237"/>
      <c r="G71" s="237"/>
      <c r="H71" s="237"/>
      <c r="I71" s="237"/>
      <c r="K71" s="237"/>
      <c r="N71" s="237"/>
      <c r="O71" s="237"/>
      <c r="P71" s="237"/>
      <c r="Q71" s="237"/>
      <c r="AL71" s="226"/>
      <c r="AM71" s="226"/>
    </row>
    <row r="72" spans="1:39" x14ac:dyDescent="0.25">
      <c r="AA72" s="237"/>
      <c r="AB72" s="237"/>
      <c r="AC72" s="237"/>
      <c r="AD72" s="237"/>
      <c r="AE72" s="237"/>
      <c r="AF72" s="237"/>
      <c r="AG72" s="237"/>
      <c r="AH72" s="237"/>
      <c r="AJ72" s="238"/>
    </row>
    <row r="73" spans="1:39" x14ac:dyDescent="0.25">
      <c r="AA73" s="237"/>
      <c r="AB73" s="237"/>
      <c r="AC73" s="237"/>
      <c r="AD73" s="237"/>
      <c r="AE73" s="237"/>
      <c r="AF73" s="237"/>
      <c r="AG73" s="237"/>
      <c r="AH73" s="237"/>
      <c r="AJ73" s="238"/>
    </row>
    <row r="74" spans="1:39" x14ac:dyDescent="0.25">
      <c r="AA74" s="237"/>
      <c r="AB74" s="237"/>
      <c r="AC74" s="237"/>
      <c r="AD74" s="237"/>
      <c r="AE74" s="237"/>
      <c r="AF74" s="237"/>
      <c r="AG74" s="237"/>
      <c r="AH74" s="237"/>
      <c r="AJ74" s="238"/>
    </row>
    <row r="75" spans="1:39" ht="12.75" x14ac:dyDescent="0.2">
      <c r="AL75" s="226"/>
      <c r="AM75" s="226"/>
    </row>
    <row r="76" spans="1:39" ht="12.75" x14ac:dyDescent="0.2">
      <c r="A76" s="236"/>
      <c r="B76" s="236"/>
      <c r="C76" s="236"/>
      <c r="D76" s="236"/>
      <c r="E76" s="237"/>
      <c r="G76" s="237"/>
      <c r="H76" s="237"/>
      <c r="I76" s="237"/>
      <c r="K76" s="237"/>
      <c r="N76" s="237"/>
      <c r="O76" s="237"/>
      <c r="P76" s="237"/>
      <c r="Q76" s="237"/>
      <c r="AL76" s="226"/>
      <c r="AM76" s="226"/>
    </row>
    <row r="77" spans="1:39" x14ac:dyDescent="0.25">
      <c r="AA77" s="237"/>
      <c r="AB77" s="237"/>
      <c r="AC77" s="237"/>
      <c r="AD77" s="237"/>
      <c r="AE77" s="237"/>
      <c r="AF77" s="237"/>
      <c r="AG77" s="237"/>
      <c r="AH77" s="237"/>
      <c r="AJ77" s="238"/>
    </row>
    <row r="78" spans="1:39" x14ac:dyDescent="0.25">
      <c r="AA78" s="237"/>
      <c r="AB78" s="237"/>
      <c r="AC78" s="237"/>
      <c r="AD78" s="237"/>
      <c r="AE78" s="237"/>
      <c r="AF78" s="237"/>
      <c r="AG78" s="237"/>
      <c r="AH78" s="237"/>
      <c r="AJ78" s="238"/>
    </row>
    <row r="79" spans="1:39" x14ac:dyDescent="0.25">
      <c r="AA79" s="237"/>
      <c r="AB79" s="237"/>
      <c r="AC79" s="237"/>
      <c r="AD79" s="237"/>
      <c r="AE79" s="237"/>
      <c r="AF79" s="237"/>
      <c r="AG79" s="237"/>
      <c r="AH79" s="237"/>
      <c r="AJ79" s="238"/>
    </row>
    <row r="80" spans="1:39" ht="12.75" x14ac:dyDescent="0.2">
      <c r="AL80" s="226"/>
      <c r="AM80" s="226"/>
    </row>
    <row r="81" spans="1:39" ht="12.75" x14ac:dyDescent="0.2">
      <c r="A81" s="236"/>
      <c r="B81" s="236"/>
      <c r="C81" s="236"/>
      <c r="D81" s="236"/>
      <c r="E81" s="237"/>
      <c r="G81" s="237"/>
      <c r="H81" s="237"/>
      <c r="I81" s="237"/>
      <c r="K81" s="237"/>
      <c r="N81" s="237"/>
      <c r="O81" s="237"/>
      <c r="P81" s="237"/>
      <c r="Q81" s="237"/>
      <c r="AL81" s="226"/>
      <c r="AM81" s="226"/>
    </row>
    <row r="82" spans="1:39" x14ac:dyDescent="0.25">
      <c r="AA82" s="237"/>
      <c r="AB82" s="237"/>
      <c r="AC82" s="237"/>
      <c r="AD82" s="237"/>
      <c r="AE82" s="237"/>
      <c r="AF82" s="237"/>
      <c r="AG82" s="237"/>
      <c r="AH82" s="237"/>
      <c r="AJ82" s="238"/>
    </row>
    <row r="83" spans="1:39" ht="12.75" x14ac:dyDescent="0.2">
      <c r="AL83" s="226"/>
      <c r="AM83" s="226"/>
    </row>
    <row r="84" spans="1:39" ht="12.75" x14ac:dyDescent="0.2">
      <c r="A84" s="236"/>
      <c r="B84" s="236"/>
      <c r="C84" s="236"/>
      <c r="D84" s="236"/>
      <c r="E84" s="237"/>
      <c r="G84" s="237"/>
      <c r="H84" s="237"/>
      <c r="I84" s="237"/>
      <c r="K84" s="237"/>
      <c r="N84" s="237"/>
      <c r="O84" s="237"/>
      <c r="P84" s="237"/>
      <c r="Q84" s="237"/>
      <c r="AL84" s="226"/>
      <c r="AM84" s="226"/>
    </row>
    <row r="85" spans="1:39" x14ac:dyDescent="0.25">
      <c r="AA85" s="237"/>
      <c r="AB85" s="237"/>
      <c r="AC85" s="237"/>
      <c r="AD85" s="237"/>
      <c r="AE85" s="237"/>
      <c r="AF85" s="237"/>
      <c r="AG85" s="237"/>
      <c r="AH85" s="237"/>
      <c r="AJ85" s="238"/>
    </row>
    <row r="86" spans="1:39" ht="12.75" x14ac:dyDescent="0.2">
      <c r="AL86" s="226"/>
      <c r="AM86" s="226"/>
    </row>
    <row r="87" spans="1:39" ht="12.75" x14ac:dyDescent="0.2">
      <c r="A87" s="236"/>
      <c r="B87" s="236"/>
      <c r="C87" s="236"/>
      <c r="D87" s="236"/>
      <c r="E87" s="237"/>
      <c r="G87" s="237"/>
      <c r="H87" s="237"/>
      <c r="I87" s="237"/>
      <c r="K87" s="237"/>
      <c r="N87" s="237"/>
      <c r="O87" s="237"/>
      <c r="P87" s="237"/>
      <c r="Q87" s="237"/>
      <c r="AL87" s="226"/>
      <c r="AM87" s="226"/>
    </row>
    <row r="88" spans="1:39" x14ac:dyDescent="0.25">
      <c r="AA88" s="237"/>
      <c r="AB88" s="237"/>
      <c r="AC88" s="237"/>
      <c r="AD88" s="237"/>
      <c r="AE88" s="237"/>
      <c r="AF88" s="237"/>
      <c r="AG88" s="237"/>
      <c r="AH88" s="237"/>
      <c r="AJ88" s="238"/>
    </row>
    <row r="89" spans="1:39" ht="12.75" x14ac:dyDescent="0.2">
      <c r="AL89" s="226"/>
      <c r="AM89" s="226"/>
    </row>
    <row r="90" spans="1:39" ht="12.75" x14ac:dyDescent="0.2">
      <c r="A90" s="236"/>
      <c r="B90" s="236"/>
      <c r="C90" s="236"/>
      <c r="D90" s="236"/>
      <c r="E90" s="237"/>
      <c r="G90" s="237"/>
      <c r="H90" s="237"/>
      <c r="I90" s="237"/>
      <c r="K90" s="237"/>
      <c r="N90" s="237"/>
      <c r="O90" s="237"/>
      <c r="P90" s="237"/>
      <c r="Q90" s="237"/>
      <c r="AL90" s="226"/>
      <c r="AM90" s="226"/>
    </row>
    <row r="91" spans="1:39" x14ac:dyDescent="0.25">
      <c r="AA91" s="237"/>
      <c r="AB91" s="237"/>
      <c r="AC91" s="237"/>
      <c r="AD91" s="237"/>
      <c r="AE91" s="237"/>
      <c r="AF91" s="237"/>
      <c r="AG91" s="237"/>
      <c r="AH91" s="237"/>
      <c r="AJ91" s="238"/>
    </row>
    <row r="92" spans="1:39" ht="12.75" x14ac:dyDescent="0.2">
      <c r="AL92" s="226"/>
      <c r="AM92" s="226"/>
    </row>
    <row r="93" spans="1:39" ht="12.75" x14ac:dyDescent="0.2">
      <c r="A93" s="236"/>
      <c r="B93" s="236"/>
      <c r="C93" s="236"/>
      <c r="D93" s="236"/>
      <c r="E93" s="237"/>
      <c r="G93" s="237"/>
      <c r="H93" s="237"/>
      <c r="I93" s="237"/>
      <c r="K93" s="237"/>
      <c r="N93" s="237"/>
      <c r="O93" s="237"/>
      <c r="P93" s="237"/>
      <c r="Q93" s="237"/>
      <c r="AL93" s="226"/>
      <c r="AM93" s="226"/>
    </row>
    <row r="94" spans="1:39" x14ac:dyDescent="0.25">
      <c r="T94" s="239"/>
      <c r="AA94" s="237"/>
      <c r="AB94" s="237"/>
      <c r="AC94" s="237"/>
      <c r="AD94" s="237"/>
      <c r="AE94" s="237"/>
      <c r="AF94" s="237"/>
      <c r="AG94" s="237"/>
      <c r="AH94" s="237"/>
      <c r="AJ94" s="238"/>
    </row>
    <row r="95" spans="1:39" ht="12.75" x14ac:dyDescent="0.2">
      <c r="AL95" s="226"/>
      <c r="AM95" s="226"/>
    </row>
    <row r="96" spans="1:39" ht="12.75" x14ac:dyDescent="0.2">
      <c r="A96" s="236"/>
      <c r="B96" s="236"/>
      <c r="C96" s="236"/>
      <c r="D96" s="236"/>
      <c r="E96" s="237"/>
      <c r="G96" s="237"/>
      <c r="H96" s="237"/>
      <c r="I96" s="237"/>
      <c r="K96" s="237"/>
      <c r="N96" s="237"/>
      <c r="O96" s="237"/>
      <c r="P96" s="237"/>
      <c r="Q96" s="237"/>
      <c r="AL96" s="226"/>
      <c r="AM96" s="226"/>
    </row>
    <row r="97" spans="1:39" x14ac:dyDescent="0.25">
      <c r="AA97" s="237"/>
      <c r="AB97" s="237"/>
      <c r="AC97" s="237"/>
      <c r="AD97" s="237"/>
      <c r="AE97" s="237"/>
      <c r="AF97" s="237"/>
      <c r="AG97" s="237"/>
      <c r="AH97" s="237"/>
      <c r="AJ97" s="238"/>
    </row>
    <row r="98" spans="1:39" ht="12.75" x14ac:dyDescent="0.2">
      <c r="AL98" s="226"/>
      <c r="AM98" s="226"/>
    </row>
    <row r="99" spans="1:39" ht="12.75" x14ac:dyDescent="0.2">
      <c r="A99" s="236"/>
      <c r="B99" s="236"/>
      <c r="C99" s="236"/>
      <c r="D99" s="236"/>
      <c r="E99" s="237"/>
      <c r="G99" s="237"/>
      <c r="H99" s="237"/>
      <c r="I99" s="237"/>
      <c r="K99" s="237"/>
      <c r="N99" s="237"/>
      <c r="O99" s="237"/>
      <c r="P99" s="237"/>
      <c r="Q99" s="237"/>
      <c r="AL99" s="226"/>
      <c r="AM99" s="226"/>
    </row>
    <row r="100" spans="1:39" x14ac:dyDescent="0.25">
      <c r="AA100" s="237"/>
      <c r="AB100" s="237"/>
      <c r="AC100" s="237"/>
      <c r="AD100" s="237"/>
      <c r="AE100" s="237"/>
      <c r="AF100" s="237"/>
      <c r="AG100" s="237"/>
      <c r="AH100" s="237"/>
      <c r="AJ100" s="238"/>
    </row>
    <row r="101" spans="1:39" x14ac:dyDescent="0.25">
      <c r="AA101" s="237"/>
      <c r="AB101" s="237"/>
      <c r="AC101" s="237"/>
      <c r="AD101" s="237"/>
      <c r="AE101" s="237"/>
      <c r="AF101" s="237"/>
      <c r="AG101" s="237"/>
      <c r="AH101" s="237"/>
      <c r="AJ101" s="238"/>
    </row>
    <row r="102" spans="1:39" x14ac:dyDescent="0.25">
      <c r="AA102" s="237"/>
      <c r="AB102" s="237"/>
      <c r="AC102" s="237"/>
      <c r="AD102" s="237"/>
      <c r="AE102" s="237"/>
      <c r="AF102" s="237"/>
      <c r="AG102" s="237"/>
      <c r="AH102" s="237"/>
      <c r="AJ102" s="238"/>
    </row>
    <row r="103" spans="1:39" ht="12.75" x14ac:dyDescent="0.2">
      <c r="AL103" s="226"/>
      <c r="AM103" s="226"/>
    </row>
    <row r="104" spans="1:39" ht="12.75" x14ac:dyDescent="0.2">
      <c r="A104" s="236"/>
      <c r="B104" s="236"/>
      <c r="C104" s="236"/>
      <c r="D104" s="236"/>
      <c r="E104" s="237"/>
      <c r="G104" s="237"/>
      <c r="H104" s="237"/>
      <c r="I104" s="237"/>
      <c r="K104" s="237"/>
      <c r="N104" s="237"/>
      <c r="O104" s="237"/>
      <c r="P104" s="237"/>
      <c r="Q104" s="237"/>
      <c r="AL104" s="226"/>
      <c r="AM104" s="226"/>
    </row>
    <row r="105" spans="1:39" x14ac:dyDescent="0.25">
      <c r="AA105" s="237"/>
      <c r="AB105" s="237"/>
      <c r="AC105" s="237"/>
      <c r="AD105" s="237"/>
      <c r="AE105" s="237"/>
      <c r="AF105" s="237"/>
      <c r="AG105" s="237"/>
      <c r="AH105" s="237"/>
      <c r="AJ105" s="238"/>
    </row>
    <row r="106" spans="1:39" x14ac:dyDescent="0.25">
      <c r="AA106" s="237"/>
      <c r="AB106" s="237"/>
      <c r="AC106" s="237"/>
      <c r="AD106" s="237"/>
      <c r="AE106" s="237"/>
      <c r="AF106" s="237"/>
      <c r="AG106" s="237"/>
      <c r="AH106" s="237"/>
      <c r="AJ106" s="238"/>
    </row>
    <row r="107" spans="1:39" ht="12.75" x14ac:dyDescent="0.2">
      <c r="AL107" s="226"/>
      <c r="AM107" s="226"/>
    </row>
    <row r="108" spans="1:39" ht="12.75" x14ac:dyDescent="0.2">
      <c r="A108" s="236"/>
      <c r="B108" s="236"/>
      <c r="C108" s="236"/>
      <c r="D108" s="236"/>
      <c r="E108" s="237"/>
      <c r="G108" s="237"/>
      <c r="H108" s="237"/>
      <c r="I108" s="237"/>
      <c r="K108" s="237"/>
      <c r="N108" s="237"/>
      <c r="O108" s="237"/>
      <c r="P108" s="237"/>
      <c r="Q108" s="237"/>
      <c r="AL108" s="226"/>
      <c r="AM108" s="226"/>
    </row>
    <row r="109" spans="1:39" x14ac:dyDescent="0.25">
      <c r="AA109" s="237"/>
      <c r="AB109" s="237"/>
      <c r="AC109" s="237"/>
      <c r="AD109" s="237"/>
      <c r="AE109" s="237"/>
      <c r="AF109" s="237"/>
      <c r="AG109" s="237"/>
      <c r="AH109" s="237"/>
      <c r="AJ109" s="238"/>
    </row>
    <row r="110" spans="1:39" ht="12.75" x14ac:dyDescent="0.2">
      <c r="AL110" s="226"/>
      <c r="AM110" s="226"/>
    </row>
    <row r="111" spans="1:39" ht="12.75" x14ac:dyDescent="0.2">
      <c r="A111" s="236"/>
      <c r="B111" s="236"/>
      <c r="C111" s="236"/>
      <c r="D111" s="236"/>
      <c r="E111" s="237"/>
      <c r="G111" s="237"/>
      <c r="H111" s="237"/>
      <c r="I111" s="237"/>
      <c r="K111" s="237"/>
      <c r="N111" s="237"/>
      <c r="O111" s="237"/>
      <c r="P111" s="237"/>
      <c r="Q111" s="237"/>
      <c r="AL111" s="226"/>
      <c r="AM111" s="226"/>
    </row>
    <row r="112" spans="1:39" x14ac:dyDescent="0.25">
      <c r="AA112" s="237"/>
      <c r="AB112" s="237"/>
      <c r="AC112" s="237"/>
      <c r="AD112" s="237"/>
      <c r="AE112" s="237"/>
      <c r="AF112" s="237"/>
      <c r="AG112" s="237"/>
      <c r="AH112" s="237"/>
      <c r="AJ112" s="238"/>
    </row>
    <row r="113" spans="1:39" x14ac:dyDescent="0.25">
      <c r="AA113" s="237"/>
      <c r="AB113" s="237"/>
      <c r="AC113" s="237"/>
      <c r="AD113" s="237"/>
      <c r="AE113" s="237"/>
      <c r="AF113" s="237"/>
      <c r="AG113" s="237"/>
      <c r="AH113" s="237"/>
      <c r="AJ113" s="238"/>
    </row>
    <row r="114" spans="1:39" x14ac:dyDescent="0.25">
      <c r="AA114" s="237"/>
      <c r="AB114" s="237"/>
      <c r="AC114" s="237"/>
      <c r="AD114" s="237"/>
      <c r="AE114" s="237"/>
      <c r="AF114" s="237"/>
      <c r="AG114" s="237"/>
      <c r="AH114" s="237"/>
      <c r="AJ114" s="238"/>
    </row>
    <row r="115" spans="1:39" ht="12.75" x14ac:dyDescent="0.2">
      <c r="AL115" s="226"/>
      <c r="AM115" s="226"/>
    </row>
    <row r="116" spans="1:39" ht="12.75" x14ac:dyDescent="0.2">
      <c r="A116" s="236"/>
      <c r="B116" s="236"/>
      <c r="C116" s="236"/>
      <c r="D116" s="236"/>
      <c r="E116" s="237"/>
      <c r="G116" s="237"/>
      <c r="H116" s="237"/>
      <c r="I116" s="237"/>
      <c r="K116" s="237"/>
      <c r="N116" s="237"/>
      <c r="O116" s="237"/>
      <c r="P116" s="237"/>
      <c r="Q116" s="237"/>
      <c r="AL116" s="226"/>
      <c r="AM116" s="226"/>
    </row>
    <row r="117" spans="1:39" x14ac:dyDescent="0.25">
      <c r="AA117" s="237"/>
      <c r="AB117" s="237"/>
      <c r="AC117" s="237"/>
      <c r="AD117" s="237"/>
      <c r="AE117" s="237"/>
      <c r="AF117" s="237"/>
      <c r="AG117" s="237"/>
      <c r="AH117" s="237"/>
      <c r="AJ117" s="238"/>
    </row>
    <row r="118" spans="1:39" ht="12.75" x14ac:dyDescent="0.2">
      <c r="AL118" s="226"/>
      <c r="AM118" s="226"/>
    </row>
    <row r="119" spans="1:39" ht="12.75" x14ac:dyDescent="0.2">
      <c r="A119" s="236"/>
      <c r="B119" s="236"/>
      <c r="C119" s="236"/>
      <c r="D119" s="236"/>
      <c r="E119" s="237"/>
      <c r="G119" s="237"/>
      <c r="H119" s="237"/>
      <c r="I119" s="237"/>
      <c r="K119" s="237"/>
      <c r="N119" s="237"/>
      <c r="O119" s="237"/>
      <c r="P119" s="237"/>
      <c r="Q119" s="237"/>
      <c r="AL119" s="226"/>
      <c r="AM119" s="226"/>
    </row>
    <row r="120" spans="1:39" x14ac:dyDescent="0.25">
      <c r="AA120" s="237"/>
      <c r="AB120" s="237"/>
      <c r="AC120" s="237"/>
      <c r="AD120" s="237"/>
      <c r="AE120" s="237"/>
      <c r="AF120" s="237"/>
      <c r="AG120" s="237"/>
      <c r="AH120" s="237"/>
      <c r="AJ120" s="238"/>
    </row>
    <row r="121" spans="1:39" x14ac:dyDescent="0.25">
      <c r="AA121" s="237"/>
      <c r="AB121" s="237"/>
      <c r="AC121" s="237"/>
      <c r="AD121" s="237"/>
      <c r="AE121" s="237"/>
      <c r="AF121" s="237"/>
      <c r="AG121" s="237"/>
      <c r="AH121" s="237"/>
      <c r="AJ121" s="238"/>
    </row>
    <row r="122" spans="1:39" ht="12.75" x14ac:dyDescent="0.2">
      <c r="AL122" s="226"/>
      <c r="AM122" s="226"/>
    </row>
    <row r="123" spans="1:39" ht="12.75" x14ac:dyDescent="0.2">
      <c r="A123" s="236"/>
      <c r="B123" s="236"/>
      <c r="C123" s="236"/>
      <c r="D123" s="236"/>
      <c r="E123" s="237"/>
      <c r="G123" s="237"/>
      <c r="H123" s="237"/>
      <c r="I123" s="237"/>
      <c r="K123" s="237"/>
      <c r="N123" s="237"/>
      <c r="O123" s="237"/>
      <c r="P123" s="237"/>
      <c r="Q123" s="237"/>
      <c r="AL123" s="226"/>
      <c r="AM123" s="226"/>
    </row>
    <row r="124" spans="1:39" x14ac:dyDescent="0.25">
      <c r="AA124" s="237"/>
      <c r="AB124" s="237"/>
      <c r="AC124" s="237"/>
      <c r="AD124" s="237"/>
      <c r="AE124" s="237"/>
      <c r="AF124" s="237"/>
      <c r="AG124" s="237"/>
      <c r="AH124" s="237"/>
      <c r="AJ124" s="238"/>
    </row>
    <row r="125" spans="1:39" x14ac:dyDescent="0.25">
      <c r="AA125" s="237"/>
      <c r="AB125" s="237"/>
      <c r="AC125" s="237"/>
      <c r="AD125" s="237"/>
      <c r="AE125" s="237"/>
      <c r="AF125" s="237"/>
      <c r="AG125" s="237"/>
      <c r="AH125" s="237"/>
      <c r="AJ125" s="238"/>
    </row>
    <row r="126" spans="1:39" x14ac:dyDescent="0.25">
      <c r="AA126" s="237"/>
      <c r="AB126" s="237"/>
      <c r="AC126" s="237"/>
      <c r="AD126" s="237"/>
      <c r="AE126" s="237"/>
      <c r="AF126" s="237"/>
      <c r="AG126" s="237"/>
      <c r="AH126" s="237"/>
      <c r="AJ126" s="238"/>
    </row>
    <row r="127" spans="1:39" x14ac:dyDescent="0.25">
      <c r="AA127" s="237"/>
      <c r="AB127" s="237"/>
      <c r="AC127" s="237"/>
      <c r="AD127" s="237"/>
      <c r="AE127" s="237"/>
      <c r="AF127" s="237"/>
      <c r="AG127" s="237"/>
      <c r="AH127" s="237"/>
      <c r="AJ127" s="238"/>
    </row>
    <row r="128" spans="1:39" ht="12.75" x14ac:dyDescent="0.2">
      <c r="AL128" s="226"/>
      <c r="AM128" s="226"/>
    </row>
    <row r="129" spans="1:39" ht="12.75" x14ac:dyDescent="0.2">
      <c r="A129" s="236"/>
      <c r="B129" s="236"/>
      <c r="C129" s="236"/>
      <c r="D129" s="236"/>
      <c r="E129" s="237"/>
      <c r="G129" s="237"/>
      <c r="H129" s="237"/>
      <c r="I129" s="237"/>
      <c r="K129" s="237"/>
      <c r="N129" s="237"/>
      <c r="O129" s="237"/>
      <c r="P129" s="237"/>
      <c r="Q129" s="237"/>
      <c r="AL129" s="226"/>
      <c r="AM129" s="226"/>
    </row>
    <row r="130" spans="1:39" x14ac:dyDescent="0.25">
      <c r="AA130" s="237"/>
      <c r="AB130" s="237"/>
      <c r="AC130" s="237"/>
      <c r="AD130" s="237"/>
      <c r="AE130" s="237"/>
      <c r="AF130" s="237"/>
      <c r="AG130" s="237"/>
      <c r="AH130" s="237"/>
      <c r="AJ130" s="238"/>
    </row>
    <row r="131" spans="1:39" x14ac:dyDescent="0.25">
      <c r="AA131" s="237"/>
      <c r="AB131" s="237"/>
      <c r="AC131" s="237"/>
      <c r="AD131" s="237"/>
      <c r="AE131" s="237"/>
      <c r="AF131" s="237"/>
      <c r="AG131" s="237"/>
      <c r="AH131" s="237"/>
      <c r="AJ131" s="238"/>
    </row>
    <row r="132" spans="1:39" x14ac:dyDescent="0.25">
      <c r="AA132" s="237"/>
      <c r="AB132" s="237"/>
      <c r="AC132" s="237"/>
      <c r="AD132" s="237"/>
      <c r="AE132" s="237"/>
      <c r="AF132" s="237"/>
      <c r="AG132" s="237"/>
      <c r="AH132" s="237"/>
      <c r="AJ132" s="238"/>
    </row>
    <row r="133" spans="1:39" x14ac:dyDescent="0.25">
      <c r="AA133" s="237"/>
      <c r="AB133" s="237"/>
      <c r="AC133" s="237"/>
      <c r="AD133" s="237"/>
      <c r="AE133" s="237"/>
      <c r="AF133" s="237"/>
      <c r="AG133" s="237"/>
      <c r="AH133" s="237"/>
      <c r="AJ133" s="238"/>
    </row>
    <row r="134" spans="1:39" x14ac:dyDescent="0.25">
      <c r="AA134" s="237"/>
      <c r="AB134" s="237"/>
      <c r="AC134" s="237"/>
      <c r="AD134" s="237"/>
      <c r="AE134" s="237"/>
      <c r="AF134" s="237"/>
      <c r="AG134" s="237"/>
      <c r="AH134" s="237"/>
      <c r="AJ134" s="238"/>
    </row>
    <row r="135" spans="1:39" x14ac:dyDescent="0.25">
      <c r="AA135" s="237"/>
      <c r="AB135" s="237"/>
      <c r="AC135" s="237"/>
      <c r="AD135" s="237"/>
      <c r="AE135" s="237"/>
      <c r="AF135" s="237"/>
      <c r="AG135" s="237"/>
      <c r="AH135" s="237"/>
      <c r="AJ135" s="238"/>
    </row>
    <row r="136" spans="1:39" x14ac:dyDescent="0.25">
      <c r="AA136" s="237"/>
      <c r="AB136" s="237"/>
      <c r="AC136" s="237"/>
      <c r="AD136" s="237"/>
      <c r="AE136" s="237"/>
      <c r="AF136" s="237"/>
      <c r="AG136" s="237"/>
      <c r="AH136" s="237"/>
      <c r="AJ136" s="238"/>
    </row>
    <row r="137" spans="1:39" x14ac:dyDescent="0.25">
      <c r="AA137" s="237"/>
      <c r="AB137" s="237"/>
      <c r="AC137" s="237"/>
      <c r="AD137" s="237"/>
      <c r="AE137" s="237"/>
      <c r="AF137" s="237"/>
      <c r="AG137" s="237"/>
      <c r="AH137" s="237"/>
      <c r="AJ137" s="238"/>
    </row>
    <row r="138" spans="1:39" x14ac:dyDescent="0.25">
      <c r="AA138" s="237"/>
      <c r="AB138" s="237"/>
      <c r="AC138" s="237"/>
      <c r="AD138" s="237"/>
      <c r="AE138" s="237"/>
      <c r="AF138" s="237"/>
      <c r="AG138" s="237"/>
      <c r="AH138" s="237"/>
      <c r="AJ138" s="238"/>
    </row>
    <row r="139" spans="1:39" ht="12.75" x14ac:dyDescent="0.2">
      <c r="AL139" s="226"/>
      <c r="AM139" s="226"/>
    </row>
    <row r="140" spans="1:39" ht="12.75" x14ac:dyDescent="0.2">
      <c r="A140" s="236"/>
      <c r="B140" s="236"/>
      <c r="C140" s="236"/>
      <c r="D140" s="236"/>
      <c r="E140" s="237"/>
      <c r="G140" s="237"/>
      <c r="H140" s="237"/>
      <c r="I140" s="237"/>
      <c r="K140" s="237"/>
      <c r="N140" s="237"/>
      <c r="O140" s="237"/>
      <c r="P140" s="237"/>
      <c r="Q140" s="237"/>
      <c r="AL140" s="226"/>
      <c r="AM140" s="226"/>
    </row>
    <row r="141" spans="1:39" x14ac:dyDescent="0.25">
      <c r="AA141" s="237"/>
      <c r="AB141" s="237"/>
      <c r="AC141" s="237"/>
      <c r="AD141" s="237"/>
      <c r="AE141" s="237"/>
      <c r="AF141" s="237"/>
      <c r="AG141" s="237"/>
      <c r="AH141" s="237"/>
      <c r="AJ141" s="238"/>
    </row>
    <row r="142" spans="1:39" x14ac:dyDescent="0.25">
      <c r="AA142" s="237"/>
      <c r="AB142" s="237"/>
      <c r="AC142" s="237"/>
      <c r="AD142" s="237"/>
      <c r="AE142" s="237"/>
      <c r="AF142" s="237"/>
      <c r="AG142" s="237"/>
      <c r="AH142" s="237"/>
      <c r="AJ142" s="238"/>
    </row>
    <row r="143" spans="1:39" ht="12.75" x14ac:dyDescent="0.2">
      <c r="AL143" s="226"/>
      <c r="AM143" s="226"/>
    </row>
    <row r="144" spans="1:39" ht="12.75" x14ac:dyDescent="0.2">
      <c r="A144" s="236"/>
      <c r="B144" s="236"/>
      <c r="C144" s="236"/>
      <c r="D144" s="236"/>
      <c r="E144" s="237"/>
      <c r="G144" s="237"/>
      <c r="H144" s="237"/>
      <c r="I144" s="237"/>
      <c r="K144" s="237"/>
      <c r="N144" s="237"/>
      <c r="O144" s="237"/>
      <c r="P144" s="237"/>
      <c r="Q144" s="237"/>
      <c r="AL144" s="226"/>
      <c r="AM144" s="226"/>
    </row>
    <row r="145" spans="1:39" x14ac:dyDescent="0.25">
      <c r="AA145" s="237"/>
      <c r="AB145" s="237"/>
      <c r="AC145" s="237"/>
      <c r="AD145" s="237"/>
      <c r="AE145" s="237"/>
      <c r="AF145" s="237"/>
      <c r="AG145" s="237"/>
      <c r="AH145" s="237"/>
      <c r="AJ145" s="238"/>
    </row>
    <row r="146" spans="1:39" ht="12.75" x14ac:dyDescent="0.2">
      <c r="AL146" s="226"/>
      <c r="AM146" s="226"/>
    </row>
    <row r="147" spans="1:39" ht="12.75" x14ac:dyDescent="0.2">
      <c r="A147" s="236"/>
      <c r="B147" s="236"/>
      <c r="C147" s="236"/>
      <c r="D147" s="236"/>
      <c r="E147" s="237"/>
      <c r="G147" s="237"/>
      <c r="H147" s="237"/>
      <c r="I147" s="237"/>
      <c r="K147" s="237"/>
      <c r="N147" s="237"/>
      <c r="O147" s="237"/>
      <c r="P147" s="237"/>
      <c r="Q147" s="237"/>
      <c r="AL147" s="226"/>
      <c r="AM147" s="226"/>
    </row>
    <row r="148" spans="1:39" x14ac:dyDescent="0.25">
      <c r="AA148" s="237"/>
      <c r="AB148" s="237"/>
      <c r="AC148" s="237"/>
      <c r="AD148" s="237"/>
      <c r="AE148" s="237"/>
      <c r="AF148" s="237"/>
      <c r="AG148" s="237"/>
      <c r="AH148" s="237"/>
      <c r="AJ148" s="238"/>
    </row>
    <row r="149" spans="1:39" ht="12.75" x14ac:dyDescent="0.2">
      <c r="AL149" s="226"/>
      <c r="AM149" s="226"/>
    </row>
    <row r="150" spans="1:39" ht="12.75" x14ac:dyDescent="0.2">
      <c r="A150" s="236"/>
      <c r="B150" s="236"/>
      <c r="C150" s="236"/>
      <c r="D150" s="236"/>
      <c r="E150" s="237"/>
      <c r="G150" s="237"/>
      <c r="H150" s="237"/>
      <c r="I150" s="237"/>
      <c r="K150" s="237"/>
      <c r="N150" s="237"/>
      <c r="O150" s="237"/>
      <c r="P150" s="237"/>
      <c r="Q150" s="237"/>
      <c r="AL150" s="226"/>
      <c r="AM150" s="226"/>
    </row>
    <row r="151" spans="1:39" x14ac:dyDescent="0.25">
      <c r="AA151" s="237"/>
      <c r="AB151" s="237"/>
      <c r="AC151" s="237"/>
      <c r="AD151" s="237"/>
      <c r="AE151" s="237"/>
      <c r="AF151" s="237"/>
      <c r="AG151" s="237"/>
      <c r="AH151" s="237"/>
      <c r="AJ151" s="238"/>
    </row>
    <row r="152" spans="1:39" ht="12.75" x14ac:dyDescent="0.2">
      <c r="AL152" s="226"/>
      <c r="AM152" s="226"/>
    </row>
    <row r="153" spans="1:39" ht="12.75" x14ac:dyDescent="0.2">
      <c r="A153" s="236"/>
      <c r="B153" s="236"/>
      <c r="C153" s="236"/>
      <c r="D153" s="236"/>
      <c r="E153" s="237"/>
      <c r="G153" s="237"/>
      <c r="H153" s="237"/>
      <c r="I153" s="237"/>
      <c r="K153" s="237"/>
      <c r="N153" s="237"/>
      <c r="O153" s="237"/>
      <c r="P153" s="237"/>
      <c r="Q153" s="237"/>
      <c r="AL153" s="226"/>
      <c r="AM153" s="226"/>
    </row>
    <row r="154" spans="1:39" x14ac:dyDescent="0.25">
      <c r="AA154" s="237"/>
      <c r="AB154" s="237"/>
      <c r="AC154" s="237"/>
      <c r="AD154" s="237"/>
      <c r="AE154" s="237"/>
      <c r="AF154" s="237"/>
      <c r="AG154" s="237"/>
      <c r="AH154" s="237"/>
      <c r="AJ154" s="238"/>
    </row>
    <row r="155" spans="1:39" ht="12.75" x14ac:dyDescent="0.2">
      <c r="AL155" s="226"/>
      <c r="AM155" s="226"/>
    </row>
    <row r="156" spans="1:39" ht="12.75" x14ac:dyDescent="0.2">
      <c r="A156" s="236"/>
      <c r="B156" s="236"/>
      <c r="C156" s="236"/>
      <c r="D156" s="236"/>
      <c r="E156" s="237"/>
      <c r="G156" s="237"/>
      <c r="H156" s="237"/>
      <c r="I156" s="237"/>
      <c r="K156" s="237"/>
      <c r="N156" s="237"/>
      <c r="O156" s="237"/>
      <c r="P156" s="237"/>
      <c r="Q156" s="237"/>
      <c r="AL156" s="226"/>
      <c r="AM156" s="226"/>
    </row>
    <row r="157" spans="1:39" x14ac:dyDescent="0.25">
      <c r="AA157" s="237"/>
      <c r="AB157" s="237"/>
      <c r="AC157" s="237"/>
      <c r="AD157" s="237"/>
      <c r="AE157" s="237"/>
      <c r="AF157" s="237"/>
      <c r="AG157" s="237"/>
      <c r="AH157" s="237"/>
      <c r="AJ157" s="238"/>
    </row>
    <row r="158" spans="1:39" ht="12.75" x14ac:dyDescent="0.2">
      <c r="AL158" s="226"/>
      <c r="AM158" s="226"/>
    </row>
    <row r="159" spans="1:39" ht="12.75" x14ac:dyDescent="0.2">
      <c r="A159" s="236"/>
      <c r="B159" s="236"/>
      <c r="C159" s="236"/>
      <c r="D159" s="236"/>
      <c r="E159" s="237"/>
      <c r="G159" s="237"/>
      <c r="H159" s="237"/>
      <c r="I159" s="237"/>
      <c r="K159" s="237"/>
      <c r="N159" s="237"/>
      <c r="O159" s="237"/>
      <c r="P159" s="237"/>
      <c r="Q159" s="237"/>
      <c r="AL159" s="226"/>
      <c r="AM159" s="226"/>
    </row>
    <row r="160" spans="1:39" x14ac:dyDescent="0.25">
      <c r="AA160" s="237"/>
      <c r="AB160" s="237"/>
      <c r="AC160" s="237"/>
      <c r="AD160" s="237"/>
      <c r="AE160" s="237"/>
      <c r="AF160" s="237"/>
      <c r="AG160" s="237"/>
      <c r="AH160" s="237"/>
      <c r="AJ160" s="238"/>
    </row>
    <row r="161" spans="1:39" ht="12.75" x14ac:dyDescent="0.2">
      <c r="AL161" s="226"/>
      <c r="AM161" s="226"/>
    </row>
    <row r="162" spans="1:39" ht="12.75" x14ac:dyDescent="0.2">
      <c r="A162" s="236"/>
      <c r="B162" s="236"/>
      <c r="C162" s="236"/>
      <c r="D162" s="236"/>
      <c r="E162" s="237"/>
      <c r="G162" s="237"/>
      <c r="H162" s="237"/>
      <c r="I162" s="237"/>
      <c r="K162" s="237"/>
      <c r="N162" s="237"/>
      <c r="O162" s="237"/>
      <c r="P162" s="237"/>
      <c r="Q162" s="237"/>
      <c r="AL162" s="226"/>
      <c r="AM162" s="226"/>
    </row>
    <row r="163" spans="1:39" x14ac:dyDescent="0.25">
      <c r="AA163" s="237"/>
      <c r="AB163" s="237"/>
      <c r="AC163" s="237"/>
      <c r="AD163" s="237"/>
      <c r="AE163" s="237"/>
      <c r="AF163" s="237"/>
      <c r="AG163" s="237"/>
      <c r="AH163" s="237"/>
      <c r="AJ163" s="238"/>
    </row>
    <row r="164" spans="1:39" ht="12.75" x14ac:dyDescent="0.2">
      <c r="AL164" s="226"/>
      <c r="AM164" s="226"/>
    </row>
    <row r="165" spans="1:39" ht="12.75" x14ac:dyDescent="0.2">
      <c r="A165" s="236"/>
      <c r="B165" s="236"/>
      <c r="C165" s="236"/>
      <c r="D165" s="236"/>
      <c r="E165" s="237"/>
      <c r="G165" s="237"/>
      <c r="H165" s="237"/>
      <c r="I165" s="237"/>
      <c r="K165" s="237"/>
      <c r="N165" s="237"/>
      <c r="O165" s="237"/>
      <c r="P165" s="237"/>
      <c r="Q165" s="237"/>
      <c r="AL165" s="226"/>
      <c r="AM165" s="226"/>
    </row>
    <row r="166" spans="1:39" x14ac:dyDescent="0.25">
      <c r="AA166" s="237"/>
      <c r="AB166" s="237"/>
      <c r="AC166" s="237"/>
      <c r="AD166" s="237"/>
      <c r="AE166" s="237"/>
      <c r="AF166" s="237"/>
      <c r="AG166" s="237"/>
      <c r="AH166" s="237"/>
      <c r="AJ166" s="238"/>
    </row>
    <row r="167" spans="1:39" ht="12.75" x14ac:dyDescent="0.2">
      <c r="AL167" s="226"/>
      <c r="AM167" s="226"/>
    </row>
    <row r="168" spans="1:39" ht="12.75" x14ac:dyDescent="0.2">
      <c r="A168" s="236"/>
      <c r="B168" s="236"/>
      <c r="C168" s="236"/>
      <c r="D168" s="236"/>
      <c r="E168" s="237"/>
      <c r="G168" s="237"/>
      <c r="H168" s="237"/>
      <c r="I168" s="237"/>
      <c r="K168" s="237"/>
      <c r="N168" s="237"/>
      <c r="O168" s="237"/>
      <c r="P168" s="237"/>
      <c r="Q168" s="237"/>
      <c r="AL168" s="226"/>
      <c r="AM168" s="226"/>
    </row>
    <row r="169" spans="1:39" x14ac:dyDescent="0.25">
      <c r="AA169" s="237"/>
      <c r="AB169" s="237"/>
      <c r="AC169" s="237"/>
      <c r="AD169" s="237"/>
      <c r="AE169" s="237"/>
      <c r="AF169" s="237"/>
      <c r="AG169" s="237"/>
      <c r="AH169" s="237"/>
      <c r="AJ169" s="238"/>
    </row>
    <row r="170" spans="1:39" ht="12.75" x14ac:dyDescent="0.2">
      <c r="AL170" s="226"/>
      <c r="AM170" s="226"/>
    </row>
    <row r="171" spans="1:39" ht="12.75" x14ac:dyDescent="0.2">
      <c r="A171" s="236"/>
      <c r="B171" s="236"/>
      <c r="C171" s="236"/>
      <c r="D171" s="236"/>
      <c r="E171" s="237"/>
      <c r="G171" s="237"/>
      <c r="H171" s="237"/>
      <c r="I171" s="237"/>
      <c r="K171" s="237"/>
      <c r="N171" s="237"/>
      <c r="O171" s="237"/>
      <c r="P171" s="237"/>
      <c r="Q171" s="237"/>
      <c r="AL171" s="226"/>
      <c r="AM171" s="226"/>
    </row>
    <row r="172" spans="1:39" x14ac:dyDescent="0.25">
      <c r="AA172" s="237"/>
      <c r="AB172" s="237"/>
      <c r="AC172" s="237"/>
      <c r="AD172" s="237"/>
      <c r="AE172" s="237"/>
      <c r="AF172" s="237"/>
      <c r="AG172" s="237"/>
      <c r="AH172" s="237"/>
      <c r="AJ172" s="238"/>
    </row>
    <row r="173" spans="1:39" ht="12.75" x14ac:dyDescent="0.2">
      <c r="AL173" s="226"/>
      <c r="AM173" s="226"/>
    </row>
    <row r="174" spans="1:39" ht="12.75" x14ac:dyDescent="0.2">
      <c r="A174" s="236"/>
      <c r="B174" s="236"/>
      <c r="C174" s="236"/>
      <c r="D174" s="236"/>
      <c r="E174" s="237"/>
      <c r="G174" s="237"/>
      <c r="H174" s="237"/>
      <c r="I174" s="237"/>
      <c r="K174" s="237"/>
      <c r="N174" s="237"/>
      <c r="O174" s="237"/>
      <c r="P174" s="237"/>
      <c r="Q174" s="237"/>
      <c r="AL174" s="226"/>
      <c r="AM174" s="226"/>
    </row>
    <row r="175" spans="1:39" x14ac:dyDescent="0.25">
      <c r="AA175" s="237"/>
      <c r="AB175" s="237"/>
      <c r="AC175" s="237"/>
      <c r="AD175" s="237"/>
      <c r="AE175" s="237"/>
      <c r="AF175" s="237"/>
      <c r="AG175" s="237"/>
      <c r="AH175" s="237"/>
      <c r="AJ175" s="238"/>
    </row>
    <row r="176" spans="1:39" ht="12.75" x14ac:dyDescent="0.2">
      <c r="AL176" s="226"/>
      <c r="AM176" s="226"/>
    </row>
    <row r="177" spans="1:39" ht="12.75" x14ac:dyDescent="0.2">
      <c r="A177" s="236"/>
      <c r="B177" s="236"/>
      <c r="C177" s="236"/>
      <c r="D177" s="236"/>
      <c r="E177" s="237"/>
      <c r="G177" s="237"/>
      <c r="H177" s="237"/>
      <c r="I177" s="237"/>
      <c r="K177" s="237"/>
      <c r="N177" s="237"/>
      <c r="O177" s="237"/>
      <c r="P177" s="237"/>
      <c r="Q177" s="237"/>
      <c r="AL177" s="226"/>
      <c r="AM177" s="226"/>
    </row>
    <row r="178" spans="1:39" x14ac:dyDescent="0.25">
      <c r="AA178" s="237"/>
      <c r="AB178" s="237"/>
      <c r="AC178" s="237"/>
      <c r="AD178" s="237"/>
      <c r="AE178" s="237"/>
      <c r="AF178" s="237"/>
      <c r="AG178" s="237"/>
      <c r="AH178" s="237"/>
      <c r="AJ178" s="238"/>
    </row>
    <row r="179" spans="1:39" ht="12.75" x14ac:dyDescent="0.2">
      <c r="AL179" s="226"/>
      <c r="AM179" s="226"/>
    </row>
    <row r="180" spans="1:39" ht="12.75" x14ac:dyDescent="0.2">
      <c r="A180" s="236"/>
      <c r="B180" s="236"/>
      <c r="C180" s="236"/>
      <c r="D180" s="236"/>
      <c r="E180" s="237"/>
      <c r="G180" s="237"/>
      <c r="H180" s="237"/>
      <c r="I180" s="237"/>
      <c r="K180" s="237"/>
      <c r="N180" s="237"/>
      <c r="O180" s="237"/>
      <c r="P180" s="237"/>
      <c r="Q180" s="237"/>
      <c r="AL180" s="226"/>
      <c r="AM180" s="226"/>
    </row>
    <row r="181" spans="1:39" x14ac:dyDescent="0.25">
      <c r="AA181" s="237"/>
      <c r="AB181" s="237"/>
      <c r="AC181" s="237"/>
      <c r="AD181" s="237"/>
      <c r="AE181" s="237"/>
      <c r="AF181" s="237"/>
      <c r="AG181" s="237"/>
      <c r="AH181" s="237"/>
      <c r="AJ181" s="238"/>
    </row>
    <row r="182" spans="1:39" ht="12.75" x14ac:dyDescent="0.2">
      <c r="AL182" s="226"/>
      <c r="AM182" s="226"/>
    </row>
    <row r="183" spans="1:39" ht="12.75" x14ac:dyDescent="0.2">
      <c r="A183" s="236"/>
      <c r="B183" s="236"/>
      <c r="C183" s="236"/>
      <c r="D183" s="236"/>
      <c r="E183" s="237"/>
      <c r="G183" s="237"/>
      <c r="H183" s="237"/>
      <c r="I183" s="237"/>
      <c r="K183" s="237"/>
      <c r="N183" s="237"/>
      <c r="O183" s="237"/>
      <c r="P183" s="237"/>
      <c r="Q183" s="237"/>
      <c r="AL183" s="226"/>
      <c r="AM183" s="226"/>
    </row>
    <row r="184" spans="1:39" x14ac:dyDescent="0.25">
      <c r="AA184" s="237"/>
      <c r="AB184" s="237"/>
      <c r="AC184" s="237"/>
      <c r="AD184" s="237"/>
      <c r="AE184" s="237"/>
      <c r="AF184" s="237"/>
      <c r="AG184" s="237"/>
      <c r="AH184" s="237"/>
      <c r="AJ184" s="238"/>
    </row>
    <row r="185" spans="1:39" ht="12.75" x14ac:dyDescent="0.2">
      <c r="AL185" s="226"/>
      <c r="AM185" s="226"/>
    </row>
    <row r="186" spans="1:39" ht="12.75" x14ac:dyDescent="0.2">
      <c r="A186" s="236"/>
      <c r="B186" s="236"/>
      <c r="C186" s="236"/>
      <c r="D186" s="236"/>
      <c r="E186" s="237"/>
      <c r="G186" s="237"/>
      <c r="H186" s="237"/>
      <c r="I186" s="237"/>
      <c r="K186" s="237"/>
      <c r="N186" s="237"/>
      <c r="O186" s="237"/>
      <c r="P186" s="237"/>
      <c r="Q186" s="237"/>
      <c r="AL186" s="226"/>
      <c r="AM186" s="226"/>
    </row>
    <row r="187" spans="1:39" x14ac:dyDescent="0.25">
      <c r="AA187" s="237"/>
      <c r="AB187" s="237"/>
      <c r="AC187" s="237"/>
      <c r="AD187" s="237"/>
      <c r="AE187" s="237"/>
      <c r="AF187" s="237"/>
      <c r="AG187" s="237"/>
      <c r="AH187" s="237"/>
      <c r="AJ187" s="238"/>
    </row>
    <row r="188" spans="1:39" x14ac:dyDescent="0.25">
      <c r="AA188" s="237"/>
      <c r="AB188" s="237"/>
      <c r="AC188" s="237"/>
      <c r="AD188" s="237"/>
      <c r="AE188" s="237"/>
      <c r="AF188" s="237"/>
      <c r="AG188" s="237"/>
      <c r="AH188" s="237"/>
      <c r="AJ188" s="238"/>
    </row>
    <row r="189" spans="1:39" ht="12.75" x14ac:dyDescent="0.2">
      <c r="AL189" s="226"/>
      <c r="AM189" s="226"/>
    </row>
    <row r="190" spans="1:39" ht="12.75" x14ac:dyDescent="0.2">
      <c r="A190" s="236"/>
      <c r="B190" s="236"/>
      <c r="C190" s="236"/>
      <c r="D190" s="236"/>
      <c r="E190" s="237"/>
      <c r="G190" s="237"/>
      <c r="H190" s="237"/>
      <c r="I190" s="237"/>
      <c r="K190" s="237"/>
      <c r="N190" s="237"/>
      <c r="O190" s="237"/>
      <c r="P190" s="237"/>
      <c r="Q190" s="237"/>
      <c r="AL190" s="226"/>
      <c r="AM190" s="226"/>
    </row>
    <row r="191" spans="1:39" x14ac:dyDescent="0.25">
      <c r="AA191" s="237"/>
      <c r="AB191" s="237"/>
      <c r="AC191" s="237"/>
      <c r="AD191" s="237"/>
      <c r="AE191" s="237"/>
      <c r="AF191" s="237"/>
      <c r="AG191" s="237"/>
      <c r="AH191" s="237"/>
      <c r="AJ191" s="238"/>
    </row>
    <row r="192" spans="1:39" x14ac:dyDescent="0.25">
      <c r="AA192" s="237"/>
      <c r="AB192" s="237"/>
      <c r="AC192" s="237"/>
      <c r="AD192" s="237"/>
      <c r="AE192" s="237"/>
      <c r="AF192" s="237"/>
      <c r="AG192" s="237"/>
      <c r="AH192" s="237"/>
      <c r="AJ192" s="238"/>
    </row>
    <row r="193" spans="1:39" x14ac:dyDescent="0.25">
      <c r="AA193" s="237"/>
      <c r="AB193" s="237"/>
      <c r="AC193" s="237"/>
      <c r="AD193" s="237"/>
      <c r="AE193" s="237"/>
      <c r="AF193" s="237"/>
      <c r="AG193" s="237"/>
      <c r="AH193" s="237"/>
      <c r="AJ193" s="238"/>
    </row>
    <row r="194" spans="1:39" ht="12.75" x14ac:dyDescent="0.2">
      <c r="AL194" s="226"/>
      <c r="AM194" s="226"/>
    </row>
    <row r="195" spans="1:39" ht="12.75" x14ac:dyDescent="0.2">
      <c r="A195" s="236"/>
      <c r="B195" s="236"/>
      <c r="C195" s="236"/>
      <c r="D195" s="236"/>
      <c r="E195" s="237"/>
      <c r="G195" s="237"/>
      <c r="H195" s="237"/>
      <c r="I195" s="237"/>
      <c r="K195" s="237"/>
      <c r="N195" s="237"/>
      <c r="O195" s="237"/>
      <c r="P195" s="237"/>
      <c r="Q195" s="237"/>
      <c r="AL195" s="226"/>
      <c r="AM195" s="226"/>
    </row>
    <row r="196" spans="1:39" x14ac:dyDescent="0.25">
      <c r="AA196" s="237"/>
      <c r="AB196" s="237"/>
      <c r="AC196" s="237"/>
      <c r="AD196" s="237"/>
      <c r="AE196" s="237"/>
      <c r="AF196" s="237"/>
      <c r="AG196" s="237"/>
      <c r="AH196" s="237"/>
      <c r="AJ196" s="238"/>
    </row>
    <row r="197" spans="1:39" ht="12.75" x14ac:dyDescent="0.2">
      <c r="AL197" s="226"/>
      <c r="AM197" s="226"/>
    </row>
    <row r="198" spans="1:39" ht="12.75" x14ac:dyDescent="0.2">
      <c r="A198" s="236"/>
      <c r="B198" s="236"/>
      <c r="C198" s="236"/>
      <c r="D198" s="236"/>
      <c r="E198" s="237"/>
      <c r="G198" s="237"/>
      <c r="H198" s="237"/>
      <c r="I198" s="237"/>
      <c r="K198" s="237"/>
      <c r="N198" s="237"/>
      <c r="O198" s="237"/>
      <c r="P198" s="237"/>
      <c r="Q198" s="237"/>
      <c r="AL198" s="226"/>
      <c r="AM198" s="226"/>
    </row>
    <row r="199" spans="1:39" x14ac:dyDescent="0.25">
      <c r="AA199" s="237"/>
      <c r="AB199" s="237"/>
      <c r="AC199" s="237"/>
      <c r="AD199" s="237"/>
      <c r="AE199" s="237"/>
      <c r="AF199" s="237"/>
      <c r="AG199" s="237"/>
      <c r="AH199" s="237"/>
      <c r="AJ199" s="238"/>
    </row>
    <row r="200" spans="1:39" ht="12.75" x14ac:dyDescent="0.2">
      <c r="AL200" s="226"/>
      <c r="AM200" s="226"/>
    </row>
    <row r="201" spans="1:39" ht="12.75" x14ac:dyDescent="0.2">
      <c r="A201" s="236"/>
      <c r="B201" s="236"/>
      <c r="C201" s="236"/>
      <c r="D201" s="236"/>
      <c r="E201" s="237"/>
      <c r="G201" s="237"/>
      <c r="H201" s="237"/>
      <c r="I201" s="237"/>
      <c r="K201" s="237"/>
      <c r="N201" s="237"/>
      <c r="O201" s="237"/>
      <c r="P201" s="237"/>
      <c r="Q201" s="237"/>
      <c r="AL201" s="226"/>
      <c r="AM201" s="226"/>
    </row>
    <row r="202" spans="1:39" x14ac:dyDescent="0.25">
      <c r="AA202" s="237"/>
      <c r="AB202" s="237"/>
      <c r="AC202" s="237"/>
      <c r="AD202" s="237"/>
      <c r="AE202" s="237"/>
      <c r="AF202" s="237"/>
      <c r="AG202" s="237"/>
      <c r="AH202" s="237"/>
      <c r="AJ202" s="238"/>
    </row>
    <row r="203" spans="1:39" ht="12.75" x14ac:dyDescent="0.2">
      <c r="AL203" s="226"/>
      <c r="AM203" s="226"/>
    </row>
    <row r="204" spans="1:39" ht="12.75" x14ac:dyDescent="0.2">
      <c r="A204" s="236"/>
      <c r="B204" s="236"/>
      <c r="C204" s="236"/>
      <c r="D204" s="236"/>
      <c r="E204" s="237"/>
      <c r="G204" s="237"/>
      <c r="H204" s="237"/>
      <c r="I204" s="237"/>
      <c r="K204" s="237"/>
      <c r="N204" s="237"/>
      <c r="O204" s="237"/>
      <c r="P204" s="237"/>
      <c r="Q204" s="237"/>
      <c r="AL204" s="226"/>
      <c r="AM204" s="226"/>
    </row>
    <row r="205" spans="1:39" x14ac:dyDescent="0.25">
      <c r="AA205" s="237"/>
      <c r="AB205" s="237"/>
      <c r="AC205" s="237"/>
      <c r="AD205" s="237"/>
      <c r="AE205" s="237"/>
      <c r="AF205" s="237"/>
      <c r="AG205" s="237"/>
      <c r="AH205" s="237"/>
      <c r="AJ205" s="238"/>
    </row>
    <row r="206" spans="1:39" x14ac:dyDescent="0.25">
      <c r="AA206" s="237"/>
      <c r="AB206" s="237"/>
      <c r="AC206" s="237"/>
      <c r="AD206" s="237"/>
      <c r="AE206" s="237"/>
      <c r="AF206" s="237"/>
      <c r="AG206" s="237"/>
      <c r="AH206" s="237"/>
      <c r="AJ206" s="238"/>
    </row>
    <row r="207" spans="1:39" ht="12.75" x14ac:dyDescent="0.2">
      <c r="AL207" s="226"/>
      <c r="AM207" s="226"/>
    </row>
    <row r="208" spans="1:39" ht="12.75" x14ac:dyDescent="0.2">
      <c r="A208" s="236"/>
      <c r="B208" s="236"/>
      <c r="C208" s="236"/>
      <c r="D208" s="236"/>
      <c r="E208" s="237"/>
      <c r="G208" s="237"/>
      <c r="H208" s="237"/>
      <c r="I208" s="237"/>
      <c r="K208" s="237"/>
      <c r="N208" s="237"/>
      <c r="O208" s="237"/>
      <c r="P208" s="237"/>
      <c r="Q208" s="237"/>
      <c r="AL208" s="226"/>
      <c r="AM208" s="226"/>
    </row>
    <row r="209" spans="1:39" x14ac:dyDescent="0.25">
      <c r="AA209" s="237"/>
      <c r="AB209" s="237"/>
      <c r="AC209" s="237"/>
      <c r="AD209" s="237"/>
      <c r="AE209" s="237"/>
      <c r="AF209" s="237"/>
      <c r="AG209" s="237"/>
      <c r="AH209" s="237"/>
      <c r="AJ209" s="238"/>
    </row>
    <row r="210" spans="1:39" ht="12.75" x14ac:dyDescent="0.2">
      <c r="AL210" s="226"/>
      <c r="AM210" s="226"/>
    </row>
    <row r="211" spans="1:39" ht="12.75" x14ac:dyDescent="0.2">
      <c r="A211" s="236"/>
      <c r="B211" s="236"/>
      <c r="C211" s="236"/>
      <c r="D211" s="236"/>
      <c r="E211" s="237"/>
      <c r="G211" s="237"/>
      <c r="H211" s="237"/>
      <c r="I211" s="237"/>
      <c r="K211" s="237"/>
      <c r="N211" s="237"/>
      <c r="O211" s="237"/>
      <c r="P211" s="237"/>
      <c r="Q211" s="237"/>
      <c r="AL211" s="226"/>
      <c r="AM211" s="226"/>
    </row>
    <row r="212" spans="1:39" x14ac:dyDescent="0.25">
      <c r="AA212" s="237"/>
      <c r="AB212" s="237"/>
      <c r="AC212" s="237"/>
      <c r="AD212" s="237"/>
      <c r="AE212" s="237"/>
      <c r="AF212" s="237"/>
      <c r="AG212" s="237"/>
      <c r="AH212" s="237"/>
      <c r="AJ212" s="238"/>
    </row>
    <row r="213" spans="1:39" ht="12.75" x14ac:dyDescent="0.2">
      <c r="AL213" s="226"/>
      <c r="AM213" s="226"/>
    </row>
    <row r="214" spans="1:39" ht="12.75" x14ac:dyDescent="0.2">
      <c r="A214" s="236"/>
      <c r="B214" s="236"/>
      <c r="C214" s="236"/>
      <c r="D214" s="236"/>
      <c r="E214" s="237"/>
      <c r="G214" s="237"/>
      <c r="H214" s="237"/>
      <c r="I214" s="237"/>
      <c r="K214" s="237"/>
      <c r="N214" s="237"/>
      <c r="O214" s="237"/>
      <c r="P214" s="237"/>
      <c r="Q214" s="237"/>
      <c r="AL214" s="226"/>
      <c r="AM214" s="226"/>
    </row>
    <row r="215" spans="1:39" x14ac:dyDescent="0.25">
      <c r="AA215" s="237"/>
      <c r="AB215" s="237"/>
      <c r="AC215" s="237"/>
      <c r="AD215" s="237"/>
      <c r="AE215" s="237"/>
      <c r="AF215" s="237"/>
      <c r="AG215" s="237"/>
      <c r="AH215" s="237"/>
      <c r="AJ215" s="238"/>
    </row>
    <row r="216" spans="1:39" ht="12.75" x14ac:dyDescent="0.2">
      <c r="AL216" s="226"/>
      <c r="AM216" s="226"/>
    </row>
    <row r="217" spans="1:39" ht="12.75" x14ac:dyDescent="0.2">
      <c r="A217" s="236"/>
      <c r="B217" s="236"/>
      <c r="C217" s="236"/>
      <c r="D217" s="236"/>
      <c r="E217" s="237"/>
      <c r="G217" s="237"/>
      <c r="H217" s="237"/>
      <c r="I217" s="237"/>
      <c r="K217" s="237"/>
      <c r="N217" s="237"/>
      <c r="O217" s="237"/>
      <c r="P217" s="237"/>
      <c r="Q217" s="237"/>
      <c r="AL217" s="226"/>
      <c r="AM217" s="226"/>
    </row>
    <row r="218" spans="1:39" x14ac:dyDescent="0.25">
      <c r="AA218" s="237"/>
      <c r="AB218" s="237"/>
      <c r="AC218" s="237"/>
      <c r="AD218" s="237"/>
      <c r="AE218" s="237"/>
      <c r="AF218" s="237"/>
      <c r="AG218" s="237"/>
      <c r="AH218" s="237"/>
      <c r="AJ218" s="238"/>
    </row>
    <row r="219" spans="1:39" x14ac:dyDescent="0.25">
      <c r="AA219" s="237"/>
      <c r="AB219" s="237"/>
      <c r="AC219" s="237"/>
      <c r="AD219" s="237"/>
      <c r="AE219" s="237"/>
      <c r="AF219" s="237"/>
      <c r="AG219" s="237"/>
      <c r="AH219" s="237"/>
      <c r="AJ219" s="238"/>
    </row>
    <row r="220" spans="1:39" ht="12.75" x14ac:dyDescent="0.2">
      <c r="AL220" s="226"/>
      <c r="AM220" s="226"/>
    </row>
    <row r="221" spans="1:39" ht="12.75" x14ac:dyDescent="0.2">
      <c r="A221" s="236"/>
      <c r="B221" s="236"/>
      <c r="C221" s="236"/>
      <c r="D221" s="236"/>
      <c r="E221" s="237"/>
      <c r="G221" s="237"/>
      <c r="H221" s="237"/>
      <c r="I221" s="237"/>
      <c r="K221" s="237"/>
      <c r="N221" s="237"/>
      <c r="O221" s="237"/>
      <c r="P221" s="237"/>
      <c r="Q221" s="237"/>
      <c r="AL221" s="226"/>
      <c r="AM221" s="226"/>
    </row>
    <row r="222" spans="1:39" x14ac:dyDescent="0.25">
      <c r="AA222" s="237"/>
      <c r="AB222" s="237"/>
      <c r="AC222" s="237"/>
      <c r="AD222" s="237"/>
      <c r="AE222" s="237"/>
      <c r="AF222" s="237"/>
      <c r="AG222" s="237"/>
      <c r="AH222" s="237"/>
      <c r="AJ222" s="238"/>
    </row>
    <row r="223" spans="1:39" ht="12.75" x14ac:dyDescent="0.2">
      <c r="AL223" s="226"/>
      <c r="AM223" s="226"/>
    </row>
    <row r="224" spans="1:39" ht="12.75" x14ac:dyDescent="0.2">
      <c r="A224" s="236"/>
      <c r="B224" s="236"/>
      <c r="C224" s="236"/>
      <c r="D224" s="236"/>
      <c r="E224" s="237"/>
      <c r="G224" s="237"/>
      <c r="H224" s="237"/>
      <c r="I224" s="237"/>
      <c r="K224" s="237"/>
      <c r="N224" s="237"/>
      <c r="O224" s="237"/>
      <c r="P224" s="237"/>
      <c r="Q224" s="237"/>
      <c r="AL224" s="226"/>
      <c r="AM224" s="226"/>
    </row>
    <row r="225" spans="1:39" x14ac:dyDescent="0.25">
      <c r="AA225" s="237"/>
      <c r="AB225" s="237"/>
      <c r="AC225" s="237"/>
      <c r="AD225" s="237"/>
      <c r="AE225" s="237"/>
      <c r="AF225" s="237"/>
      <c r="AG225" s="237"/>
      <c r="AH225" s="237"/>
      <c r="AJ225" s="238"/>
    </row>
    <row r="226" spans="1:39" ht="12.75" x14ac:dyDescent="0.2">
      <c r="AL226" s="226"/>
      <c r="AM226" s="226"/>
    </row>
    <row r="227" spans="1:39" ht="12.75" x14ac:dyDescent="0.2">
      <c r="A227" s="236"/>
      <c r="B227" s="236"/>
      <c r="C227" s="236"/>
      <c r="D227" s="236"/>
      <c r="E227" s="237"/>
      <c r="G227" s="237"/>
      <c r="H227" s="237"/>
      <c r="I227" s="237"/>
      <c r="K227" s="237"/>
      <c r="N227" s="237"/>
      <c r="O227" s="237"/>
      <c r="P227" s="237"/>
      <c r="Q227" s="237"/>
      <c r="AL227" s="226"/>
      <c r="AM227" s="226"/>
    </row>
    <row r="228" spans="1:39" x14ac:dyDescent="0.25">
      <c r="AA228" s="237"/>
      <c r="AB228" s="237"/>
      <c r="AC228" s="237"/>
      <c r="AD228" s="237"/>
      <c r="AE228" s="237"/>
      <c r="AF228" s="237"/>
      <c r="AG228" s="237"/>
      <c r="AH228" s="237"/>
      <c r="AJ228" s="238"/>
    </row>
    <row r="229" spans="1:39" ht="12.75" x14ac:dyDescent="0.2">
      <c r="AL229" s="226"/>
      <c r="AM229" s="226"/>
    </row>
    <row r="230" spans="1:39" ht="12.75" x14ac:dyDescent="0.2">
      <c r="A230" s="236"/>
      <c r="B230" s="236"/>
      <c r="C230" s="236"/>
      <c r="D230" s="236"/>
      <c r="E230" s="237"/>
      <c r="G230" s="237"/>
      <c r="H230" s="237"/>
      <c r="I230" s="237"/>
      <c r="K230" s="237"/>
      <c r="N230" s="237"/>
      <c r="O230" s="237"/>
      <c r="P230" s="237"/>
      <c r="Q230" s="237"/>
      <c r="AL230" s="226"/>
      <c r="AM230" s="226"/>
    </row>
    <row r="231" spans="1:39" x14ac:dyDescent="0.25">
      <c r="AA231" s="237"/>
      <c r="AB231" s="237"/>
      <c r="AC231" s="237"/>
      <c r="AD231" s="237"/>
      <c r="AE231" s="237"/>
      <c r="AF231" s="237"/>
      <c r="AG231" s="237"/>
      <c r="AH231" s="237"/>
      <c r="AJ231" s="238"/>
    </row>
    <row r="232" spans="1:39" x14ac:dyDescent="0.25">
      <c r="AA232" s="237"/>
      <c r="AB232" s="237"/>
      <c r="AC232" s="237"/>
      <c r="AD232" s="237"/>
      <c r="AE232" s="237"/>
      <c r="AF232" s="237"/>
      <c r="AG232" s="237"/>
      <c r="AH232" s="237"/>
      <c r="AJ232" s="238"/>
    </row>
    <row r="233" spans="1:39" x14ac:dyDescent="0.25">
      <c r="AA233" s="237"/>
      <c r="AB233" s="237"/>
      <c r="AC233" s="237"/>
      <c r="AD233" s="237"/>
      <c r="AE233" s="237"/>
      <c r="AF233" s="237"/>
      <c r="AG233" s="237"/>
      <c r="AH233" s="237"/>
      <c r="AJ233" s="238"/>
    </row>
    <row r="234" spans="1:39" ht="12.75" x14ac:dyDescent="0.2">
      <c r="AL234" s="226"/>
      <c r="AM234" s="226"/>
    </row>
    <row r="235" spans="1:39" ht="12.75" x14ac:dyDescent="0.2">
      <c r="A235" s="236"/>
      <c r="B235" s="236"/>
      <c r="C235" s="236"/>
      <c r="D235" s="236"/>
      <c r="E235" s="237"/>
      <c r="G235" s="237"/>
      <c r="H235" s="237"/>
      <c r="I235" s="237"/>
      <c r="K235" s="237"/>
      <c r="N235" s="237"/>
      <c r="O235" s="237"/>
      <c r="P235" s="237"/>
      <c r="Q235" s="237"/>
      <c r="AL235" s="226"/>
      <c r="AM235" s="226"/>
    </row>
    <row r="236" spans="1:39" x14ac:dyDescent="0.25">
      <c r="AA236" s="237"/>
      <c r="AB236" s="237"/>
      <c r="AC236" s="237"/>
      <c r="AD236" s="237"/>
      <c r="AE236" s="237"/>
      <c r="AF236" s="237"/>
      <c r="AG236" s="237"/>
      <c r="AH236" s="237"/>
      <c r="AJ236" s="238"/>
    </row>
    <row r="237" spans="1:39" x14ac:dyDescent="0.25">
      <c r="AA237" s="237"/>
      <c r="AB237" s="237"/>
      <c r="AC237" s="237"/>
      <c r="AD237" s="237"/>
      <c r="AE237" s="237"/>
      <c r="AF237" s="237"/>
      <c r="AG237" s="237"/>
      <c r="AH237" s="237"/>
      <c r="AJ237" s="238"/>
    </row>
    <row r="238" spans="1:39" ht="12.75" x14ac:dyDescent="0.2">
      <c r="AL238" s="226"/>
      <c r="AM238" s="226"/>
    </row>
    <row r="239" spans="1:39" ht="12.75" x14ac:dyDescent="0.2">
      <c r="A239" s="236"/>
      <c r="B239" s="236"/>
      <c r="C239" s="236"/>
      <c r="D239" s="236"/>
      <c r="E239" s="237"/>
      <c r="G239" s="237"/>
      <c r="H239" s="237"/>
      <c r="I239" s="237"/>
      <c r="K239" s="237"/>
      <c r="N239" s="237"/>
      <c r="O239" s="237"/>
      <c r="P239" s="237"/>
      <c r="Q239" s="237"/>
      <c r="AL239" s="226"/>
      <c r="AM239" s="226"/>
    </row>
    <row r="240" spans="1:39" x14ac:dyDescent="0.25">
      <c r="AA240" s="237"/>
      <c r="AB240" s="237"/>
      <c r="AC240" s="237"/>
      <c r="AD240" s="237"/>
      <c r="AE240" s="237"/>
      <c r="AF240" s="237"/>
      <c r="AG240" s="237"/>
      <c r="AH240" s="237"/>
      <c r="AJ240" s="238"/>
    </row>
    <row r="241" spans="1:39" x14ac:dyDescent="0.25">
      <c r="AA241" s="237"/>
      <c r="AB241" s="237"/>
      <c r="AC241" s="237"/>
      <c r="AD241" s="237"/>
      <c r="AE241" s="237"/>
      <c r="AF241" s="237"/>
      <c r="AG241" s="237"/>
      <c r="AH241" s="237"/>
      <c r="AJ241" s="238"/>
    </row>
    <row r="242" spans="1:39" ht="12.75" x14ac:dyDescent="0.2">
      <c r="AL242" s="226"/>
      <c r="AM242" s="226"/>
    </row>
    <row r="243" spans="1:39" ht="12.75" x14ac:dyDescent="0.2">
      <c r="A243" s="236"/>
      <c r="B243" s="236"/>
      <c r="C243" s="236"/>
      <c r="D243" s="236"/>
      <c r="E243" s="237"/>
      <c r="G243" s="237"/>
      <c r="H243" s="237"/>
      <c r="I243" s="237"/>
      <c r="K243" s="237"/>
      <c r="N243" s="237"/>
      <c r="O243" s="237"/>
      <c r="P243" s="237"/>
      <c r="Q243" s="237"/>
      <c r="AL243" s="226"/>
      <c r="AM243" s="226"/>
    </row>
    <row r="244" spans="1:39" x14ac:dyDescent="0.25">
      <c r="AA244" s="237"/>
      <c r="AB244" s="237"/>
      <c r="AC244" s="237"/>
      <c r="AD244" s="237"/>
      <c r="AE244" s="237"/>
      <c r="AF244" s="237"/>
      <c r="AG244" s="237"/>
      <c r="AH244" s="237"/>
      <c r="AJ244" s="238"/>
    </row>
    <row r="245" spans="1:39" ht="12.75" x14ac:dyDescent="0.2">
      <c r="AL245" s="226"/>
      <c r="AM245" s="226"/>
    </row>
    <row r="246" spans="1:39" ht="12.75" x14ac:dyDescent="0.2">
      <c r="A246" s="236"/>
      <c r="B246" s="236"/>
      <c r="C246" s="236"/>
      <c r="D246" s="236"/>
      <c r="E246" s="237"/>
      <c r="G246" s="237"/>
      <c r="H246" s="237"/>
      <c r="I246" s="237"/>
      <c r="K246" s="237"/>
      <c r="N246" s="237"/>
      <c r="O246" s="237"/>
      <c r="P246" s="237"/>
      <c r="Q246" s="237"/>
      <c r="AL246" s="226"/>
      <c r="AM246" s="226"/>
    </row>
    <row r="247" spans="1:39" x14ac:dyDescent="0.25">
      <c r="AA247" s="237"/>
      <c r="AB247" s="237"/>
      <c r="AC247" s="237"/>
      <c r="AD247" s="237"/>
      <c r="AE247" s="237"/>
      <c r="AF247" s="237"/>
      <c r="AG247" s="237"/>
      <c r="AH247" s="237"/>
      <c r="AJ247" s="238"/>
    </row>
    <row r="248" spans="1:39" ht="12.75" x14ac:dyDescent="0.2">
      <c r="AL248" s="226"/>
      <c r="AM248" s="226"/>
    </row>
    <row r="249" spans="1:39" ht="12.75" x14ac:dyDescent="0.2">
      <c r="A249" s="236"/>
      <c r="B249" s="236"/>
      <c r="C249" s="236"/>
      <c r="D249" s="236"/>
      <c r="E249" s="237"/>
      <c r="G249" s="237"/>
      <c r="H249" s="237"/>
      <c r="I249" s="237"/>
      <c r="K249" s="237"/>
      <c r="N249" s="237"/>
      <c r="O249" s="237"/>
      <c r="P249" s="237"/>
      <c r="Q249" s="237"/>
      <c r="AL249" s="226"/>
      <c r="AM249" s="226"/>
    </row>
    <row r="250" spans="1:39" x14ac:dyDescent="0.25">
      <c r="AA250" s="237"/>
      <c r="AB250" s="237"/>
      <c r="AC250" s="237"/>
      <c r="AD250" s="237"/>
      <c r="AE250" s="237"/>
      <c r="AF250" s="237"/>
      <c r="AG250" s="237"/>
      <c r="AH250" s="237"/>
      <c r="AJ250" s="238"/>
    </row>
    <row r="251" spans="1:39" ht="12.75" x14ac:dyDescent="0.2">
      <c r="AL251" s="226"/>
      <c r="AM251" s="226"/>
    </row>
    <row r="252" spans="1:39" ht="12.75" x14ac:dyDescent="0.2">
      <c r="A252" s="236"/>
      <c r="B252" s="236"/>
      <c r="C252" s="236"/>
      <c r="D252" s="236"/>
      <c r="E252" s="237"/>
      <c r="G252" s="237"/>
      <c r="H252" s="237"/>
      <c r="I252" s="237"/>
      <c r="K252" s="237"/>
      <c r="N252" s="237"/>
      <c r="O252" s="237"/>
      <c r="P252" s="237"/>
      <c r="Q252" s="237"/>
      <c r="AL252" s="226"/>
      <c r="AM252" s="226"/>
    </row>
    <row r="253" spans="1:39" x14ac:dyDescent="0.25">
      <c r="AA253" s="237"/>
      <c r="AB253" s="237"/>
      <c r="AC253" s="237"/>
      <c r="AD253" s="237"/>
      <c r="AE253" s="237"/>
      <c r="AF253" s="237"/>
      <c r="AG253" s="237"/>
      <c r="AH253" s="237"/>
      <c r="AJ253" s="238"/>
    </row>
    <row r="254" spans="1:39" ht="12.75" x14ac:dyDescent="0.2">
      <c r="AL254" s="226"/>
      <c r="AM254" s="226"/>
    </row>
    <row r="255" spans="1:39" ht="12.75" x14ac:dyDescent="0.2">
      <c r="A255" s="236"/>
      <c r="B255" s="236"/>
      <c r="C255" s="236"/>
      <c r="D255" s="236"/>
      <c r="E255" s="237"/>
      <c r="G255" s="237"/>
      <c r="H255" s="237"/>
      <c r="I255" s="237"/>
      <c r="K255" s="237"/>
      <c r="N255" s="237"/>
      <c r="O255" s="237"/>
      <c r="P255" s="237"/>
      <c r="Q255" s="237"/>
      <c r="AL255" s="226"/>
      <c r="AM255" s="226"/>
    </row>
    <row r="256" spans="1:39" x14ac:dyDescent="0.25">
      <c r="AA256" s="237"/>
      <c r="AB256" s="237"/>
      <c r="AC256" s="237"/>
      <c r="AD256" s="237"/>
      <c r="AE256" s="237"/>
      <c r="AF256" s="237"/>
      <c r="AG256" s="237"/>
      <c r="AH256" s="237"/>
      <c r="AJ256" s="238"/>
    </row>
    <row r="257" spans="1:39" ht="12.75" x14ac:dyDescent="0.2">
      <c r="AL257" s="226"/>
      <c r="AM257" s="226"/>
    </row>
    <row r="258" spans="1:39" ht="12.75" x14ac:dyDescent="0.2">
      <c r="A258" s="236"/>
      <c r="B258" s="236"/>
      <c r="C258" s="236"/>
      <c r="D258" s="236"/>
      <c r="E258" s="237"/>
      <c r="G258" s="237"/>
      <c r="H258" s="237"/>
      <c r="I258" s="237"/>
      <c r="K258" s="237"/>
      <c r="N258" s="237"/>
      <c r="O258" s="237"/>
      <c r="P258" s="237"/>
      <c r="Q258" s="237"/>
      <c r="AL258" s="226"/>
      <c r="AM258" s="226"/>
    </row>
    <row r="259" spans="1:39" x14ac:dyDescent="0.25">
      <c r="AA259" s="237"/>
      <c r="AB259" s="237"/>
      <c r="AC259" s="237"/>
      <c r="AD259" s="237"/>
      <c r="AE259" s="237"/>
      <c r="AF259" s="237"/>
      <c r="AG259" s="237"/>
      <c r="AH259" s="237"/>
      <c r="AJ259" s="238"/>
    </row>
    <row r="260" spans="1:39" x14ac:dyDescent="0.25">
      <c r="AA260" s="237"/>
      <c r="AB260" s="237"/>
      <c r="AC260" s="237"/>
      <c r="AD260" s="237"/>
      <c r="AE260" s="237"/>
      <c r="AF260" s="237"/>
      <c r="AG260" s="237"/>
      <c r="AH260" s="237"/>
      <c r="AJ260" s="238"/>
    </row>
    <row r="261" spans="1:39" ht="12.75" x14ac:dyDescent="0.2">
      <c r="AL261" s="226"/>
      <c r="AM261" s="226"/>
    </row>
    <row r="262" spans="1:39" ht="12.75" x14ac:dyDescent="0.2">
      <c r="A262" s="236"/>
      <c r="B262" s="236"/>
      <c r="C262" s="236"/>
      <c r="D262" s="236"/>
      <c r="E262" s="237"/>
      <c r="G262" s="237"/>
      <c r="H262" s="237"/>
      <c r="I262" s="237"/>
      <c r="K262" s="237"/>
      <c r="N262" s="237"/>
      <c r="O262" s="237"/>
      <c r="P262" s="237"/>
      <c r="Q262" s="237"/>
      <c r="AL262" s="226"/>
      <c r="AM262" s="226"/>
    </row>
    <row r="263" spans="1:39" x14ac:dyDescent="0.25">
      <c r="AA263" s="237"/>
      <c r="AB263" s="237"/>
      <c r="AC263" s="237"/>
      <c r="AD263" s="237"/>
      <c r="AE263" s="237"/>
      <c r="AF263" s="237"/>
      <c r="AG263" s="237"/>
      <c r="AH263" s="237"/>
      <c r="AJ263" s="238"/>
    </row>
    <row r="264" spans="1:39" ht="12.75" x14ac:dyDescent="0.2">
      <c r="AL264" s="226"/>
      <c r="AM264" s="226"/>
    </row>
    <row r="265" spans="1:39" ht="12.75" x14ac:dyDescent="0.2">
      <c r="A265" s="236"/>
      <c r="B265" s="236"/>
      <c r="C265" s="236"/>
      <c r="D265" s="236"/>
      <c r="E265" s="237"/>
      <c r="G265" s="237"/>
      <c r="H265" s="237"/>
      <c r="I265" s="237"/>
      <c r="K265" s="237"/>
      <c r="N265" s="237"/>
      <c r="O265" s="237"/>
      <c r="P265" s="237"/>
      <c r="Q265" s="237"/>
      <c r="AL265" s="226"/>
      <c r="AM265" s="226"/>
    </row>
    <row r="266" spans="1:39" x14ac:dyDescent="0.25">
      <c r="AA266" s="237"/>
      <c r="AB266" s="237"/>
      <c r="AC266" s="237"/>
      <c r="AD266" s="237"/>
      <c r="AE266" s="237"/>
      <c r="AF266" s="237"/>
      <c r="AG266" s="237"/>
      <c r="AH266" s="237"/>
      <c r="AJ266" s="238"/>
    </row>
    <row r="267" spans="1:39" x14ac:dyDescent="0.25">
      <c r="AA267" s="237"/>
      <c r="AB267" s="237"/>
      <c r="AC267" s="237"/>
      <c r="AD267" s="237"/>
      <c r="AE267" s="237"/>
      <c r="AF267" s="237"/>
      <c r="AG267" s="237"/>
      <c r="AH267" s="237"/>
      <c r="AJ267" s="238"/>
    </row>
    <row r="268" spans="1:39" ht="12.75" x14ac:dyDescent="0.2">
      <c r="AL268" s="226"/>
      <c r="AM268" s="226"/>
    </row>
    <row r="269" spans="1:39" ht="12.75" x14ac:dyDescent="0.2">
      <c r="A269" s="236"/>
      <c r="B269" s="236"/>
      <c r="C269" s="236"/>
      <c r="D269" s="236"/>
      <c r="E269" s="237"/>
      <c r="G269" s="237"/>
      <c r="H269" s="237"/>
      <c r="I269" s="237"/>
      <c r="K269" s="237"/>
      <c r="N269" s="237"/>
      <c r="O269" s="237"/>
      <c r="P269" s="237"/>
      <c r="Q269" s="237"/>
      <c r="AL269" s="226"/>
      <c r="AM269" s="226"/>
    </row>
    <row r="270" spans="1:39" x14ac:dyDescent="0.25">
      <c r="AA270" s="237"/>
      <c r="AB270" s="237"/>
      <c r="AC270" s="237"/>
      <c r="AD270" s="237"/>
      <c r="AE270" s="237"/>
      <c r="AF270" s="237"/>
      <c r="AG270" s="237"/>
      <c r="AH270" s="237"/>
      <c r="AJ270" s="238"/>
    </row>
    <row r="271" spans="1:39" ht="12.75" x14ac:dyDescent="0.2">
      <c r="AL271" s="226"/>
      <c r="AM271" s="226"/>
    </row>
    <row r="272" spans="1:39" ht="12.75" x14ac:dyDescent="0.2">
      <c r="A272" s="236"/>
      <c r="B272" s="236"/>
      <c r="C272" s="236"/>
      <c r="D272" s="236"/>
      <c r="E272" s="237"/>
      <c r="G272" s="237"/>
      <c r="H272" s="237"/>
      <c r="I272" s="237"/>
      <c r="K272" s="237"/>
      <c r="N272" s="237"/>
      <c r="O272" s="237"/>
      <c r="P272" s="237"/>
      <c r="Q272" s="237"/>
      <c r="AL272" s="226"/>
      <c r="AM272" s="226"/>
    </row>
    <row r="273" spans="1:39" x14ac:dyDescent="0.25">
      <c r="AA273" s="237"/>
      <c r="AB273" s="237"/>
      <c r="AC273" s="237"/>
      <c r="AD273" s="237"/>
      <c r="AE273" s="237"/>
      <c r="AF273" s="237"/>
      <c r="AG273" s="237"/>
      <c r="AH273" s="237"/>
      <c r="AJ273" s="238"/>
    </row>
    <row r="274" spans="1:39" ht="12.75" x14ac:dyDescent="0.2">
      <c r="AL274" s="226"/>
      <c r="AM274" s="226"/>
    </row>
    <row r="275" spans="1:39" ht="12.75" x14ac:dyDescent="0.2">
      <c r="A275" s="236"/>
      <c r="B275" s="236"/>
      <c r="C275" s="236"/>
      <c r="D275" s="236"/>
      <c r="E275" s="237"/>
      <c r="G275" s="237"/>
      <c r="H275" s="237"/>
      <c r="I275" s="237"/>
      <c r="K275" s="237"/>
      <c r="N275" s="237"/>
      <c r="O275" s="237"/>
      <c r="P275" s="237"/>
      <c r="Q275" s="237"/>
      <c r="AL275" s="226"/>
      <c r="AM275" s="226"/>
    </row>
    <row r="276" spans="1:39" x14ac:dyDescent="0.25">
      <c r="AA276" s="237"/>
      <c r="AB276" s="237"/>
      <c r="AC276" s="237"/>
      <c r="AD276" s="237"/>
      <c r="AE276" s="237"/>
      <c r="AF276" s="237"/>
      <c r="AG276" s="237"/>
      <c r="AH276" s="237"/>
      <c r="AJ276" s="238"/>
    </row>
    <row r="277" spans="1:39" x14ac:dyDescent="0.25">
      <c r="AA277" s="237"/>
      <c r="AB277" s="237"/>
      <c r="AC277" s="237"/>
      <c r="AD277" s="237"/>
      <c r="AE277" s="237"/>
      <c r="AF277" s="237"/>
      <c r="AG277" s="237"/>
      <c r="AH277" s="237"/>
      <c r="AJ277" s="238"/>
    </row>
    <row r="278" spans="1:39" x14ac:dyDescent="0.25">
      <c r="AA278" s="237"/>
      <c r="AB278" s="237"/>
      <c r="AC278" s="237"/>
      <c r="AD278" s="237"/>
      <c r="AE278" s="237"/>
      <c r="AF278" s="237"/>
      <c r="AG278" s="237"/>
      <c r="AH278" s="237"/>
      <c r="AJ278" s="238"/>
    </row>
    <row r="279" spans="1:39" ht="12.75" x14ac:dyDescent="0.2">
      <c r="AL279" s="226"/>
      <c r="AM279" s="226"/>
    </row>
    <row r="280" spans="1:39" ht="12.75" x14ac:dyDescent="0.2">
      <c r="A280" s="236"/>
      <c r="B280" s="236"/>
      <c r="C280" s="236"/>
      <c r="D280" s="236"/>
      <c r="E280" s="237"/>
      <c r="G280" s="237"/>
      <c r="H280" s="237"/>
      <c r="I280" s="237"/>
      <c r="K280" s="237"/>
      <c r="N280" s="237"/>
      <c r="O280" s="237"/>
      <c r="P280" s="237"/>
      <c r="Q280" s="237"/>
      <c r="AL280" s="226"/>
      <c r="AM280" s="226"/>
    </row>
    <row r="281" spans="1:39" x14ac:dyDescent="0.25">
      <c r="AA281" s="237"/>
      <c r="AB281" s="237"/>
      <c r="AC281" s="237"/>
      <c r="AD281" s="237"/>
      <c r="AE281" s="237"/>
      <c r="AF281" s="237"/>
      <c r="AG281" s="237"/>
      <c r="AH281" s="237"/>
      <c r="AJ281" s="238"/>
    </row>
    <row r="282" spans="1:39" x14ac:dyDescent="0.25">
      <c r="AA282" s="237"/>
      <c r="AB282" s="237"/>
      <c r="AC282" s="237"/>
      <c r="AD282" s="237"/>
      <c r="AE282" s="237"/>
      <c r="AF282" s="237"/>
      <c r="AG282" s="237"/>
      <c r="AH282" s="237"/>
      <c r="AJ282" s="238"/>
    </row>
    <row r="283" spans="1:39" x14ac:dyDescent="0.25">
      <c r="AA283" s="237"/>
      <c r="AB283" s="237"/>
      <c r="AC283" s="237"/>
      <c r="AD283" s="237"/>
      <c r="AE283" s="237"/>
      <c r="AF283" s="237"/>
      <c r="AG283" s="237"/>
      <c r="AH283" s="237"/>
      <c r="AJ283" s="238"/>
    </row>
    <row r="284" spans="1:39" x14ac:dyDescent="0.25">
      <c r="AA284" s="237"/>
      <c r="AB284" s="237"/>
      <c r="AC284" s="237"/>
      <c r="AD284" s="237"/>
      <c r="AE284" s="237"/>
      <c r="AF284" s="237"/>
      <c r="AG284" s="237"/>
      <c r="AH284" s="237"/>
      <c r="AJ284" s="238"/>
    </row>
    <row r="285" spans="1:39" x14ac:dyDescent="0.25">
      <c r="AA285" s="237"/>
      <c r="AB285" s="237"/>
      <c r="AC285" s="237"/>
      <c r="AD285" s="237"/>
      <c r="AE285" s="237"/>
      <c r="AF285" s="237"/>
      <c r="AG285" s="237"/>
      <c r="AH285" s="237"/>
      <c r="AJ285" s="238"/>
    </row>
    <row r="286" spans="1:39" ht="12.75" x14ac:dyDescent="0.2">
      <c r="AL286" s="226"/>
      <c r="AM286" s="226"/>
    </row>
    <row r="287" spans="1:39" ht="12.75" x14ac:dyDescent="0.2">
      <c r="A287" s="236"/>
      <c r="B287" s="236"/>
      <c r="C287" s="236"/>
      <c r="D287" s="236"/>
      <c r="E287" s="237"/>
      <c r="G287" s="237"/>
      <c r="H287" s="237"/>
      <c r="I287" s="237"/>
      <c r="K287" s="237"/>
      <c r="N287" s="237"/>
      <c r="O287" s="237"/>
      <c r="P287" s="237"/>
      <c r="Q287" s="237"/>
      <c r="AL287" s="226"/>
      <c r="AM287" s="226"/>
    </row>
    <row r="288" spans="1:39" x14ac:dyDescent="0.25">
      <c r="AA288" s="237"/>
      <c r="AB288" s="237"/>
      <c r="AC288" s="237"/>
      <c r="AD288" s="237"/>
      <c r="AE288" s="237"/>
      <c r="AF288" s="237"/>
      <c r="AG288" s="237"/>
      <c r="AH288" s="237"/>
      <c r="AJ288" s="238"/>
    </row>
    <row r="289" spans="1:39" ht="12.75" x14ac:dyDescent="0.2">
      <c r="AL289" s="226"/>
      <c r="AM289" s="226"/>
    </row>
    <row r="290" spans="1:39" ht="12.75" x14ac:dyDescent="0.2">
      <c r="A290" s="236"/>
      <c r="B290" s="236"/>
      <c r="C290" s="236"/>
      <c r="D290" s="236"/>
      <c r="E290" s="237"/>
      <c r="G290" s="237"/>
      <c r="H290" s="237"/>
      <c r="I290" s="237"/>
      <c r="K290" s="237"/>
      <c r="N290" s="237"/>
      <c r="O290" s="237"/>
      <c r="P290" s="237"/>
      <c r="Q290" s="237"/>
      <c r="AL290" s="226"/>
      <c r="AM290" s="226"/>
    </row>
    <row r="291" spans="1:39" x14ac:dyDescent="0.25">
      <c r="AA291" s="237"/>
      <c r="AB291" s="237"/>
      <c r="AC291" s="237"/>
      <c r="AD291" s="237"/>
      <c r="AE291" s="237"/>
      <c r="AF291" s="237"/>
      <c r="AG291" s="237"/>
      <c r="AH291" s="237"/>
      <c r="AJ291" s="238"/>
    </row>
    <row r="292" spans="1:39" x14ac:dyDescent="0.25">
      <c r="AA292" s="237"/>
      <c r="AB292" s="237"/>
      <c r="AC292" s="237"/>
      <c r="AD292" s="237"/>
      <c r="AE292" s="237"/>
      <c r="AF292" s="237"/>
      <c r="AG292" s="237"/>
      <c r="AH292" s="237"/>
      <c r="AJ292" s="238"/>
    </row>
    <row r="293" spans="1:39" ht="12.75" x14ac:dyDescent="0.2">
      <c r="AL293" s="226"/>
      <c r="AM293" s="226"/>
    </row>
    <row r="294" spans="1:39" ht="12.75" x14ac:dyDescent="0.2">
      <c r="A294" s="236"/>
      <c r="B294" s="236"/>
      <c r="C294" s="236"/>
      <c r="D294" s="236"/>
      <c r="E294" s="237"/>
      <c r="G294" s="237"/>
      <c r="H294" s="237"/>
      <c r="I294" s="237"/>
      <c r="K294" s="237"/>
      <c r="N294" s="237"/>
      <c r="O294" s="237"/>
      <c r="P294" s="237"/>
      <c r="Q294" s="237"/>
      <c r="AL294" s="226"/>
      <c r="AM294" s="226"/>
    </row>
    <row r="295" spans="1:39" x14ac:dyDescent="0.25">
      <c r="AA295" s="237"/>
      <c r="AB295" s="237"/>
      <c r="AC295" s="237"/>
      <c r="AD295" s="237"/>
      <c r="AE295" s="237"/>
      <c r="AF295" s="237"/>
      <c r="AG295" s="237"/>
      <c r="AH295" s="237"/>
      <c r="AJ295" s="238"/>
    </row>
    <row r="296" spans="1:39" x14ac:dyDescent="0.25">
      <c r="AA296" s="237"/>
      <c r="AB296" s="237"/>
      <c r="AC296" s="237"/>
      <c r="AD296" s="237"/>
      <c r="AE296" s="237"/>
      <c r="AF296" s="237"/>
      <c r="AG296" s="237"/>
      <c r="AH296" s="237"/>
      <c r="AJ296" s="238"/>
    </row>
    <row r="297" spans="1:39" x14ac:dyDescent="0.25">
      <c r="AA297" s="237"/>
      <c r="AB297" s="237"/>
      <c r="AC297" s="237"/>
      <c r="AD297" s="237"/>
      <c r="AE297" s="237"/>
      <c r="AF297" s="237"/>
      <c r="AG297" s="237"/>
      <c r="AH297" s="237"/>
      <c r="AJ297" s="238"/>
    </row>
    <row r="298" spans="1:39" x14ac:dyDescent="0.25">
      <c r="AA298" s="237"/>
      <c r="AB298" s="237"/>
      <c r="AC298" s="237"/>
      <c r="AD298" s="237"/>
      <c r="AE298" s="237"/>
      <c r="AF298" s="237"/>
      <c r="AG298" s="237"/>
      <c r="AH298" s="237"/>
      <c r="AJ298" s="238"/>
    </row>
    <row r="299" spans="1:39" x14ac:dyDescent="0.25">
      <c r="AA299" s="237"/>
      <c r="AB299" s="237"/>
      <c r="AC299" s="237"/>
      <c r="AD299" s="237"/>
      <c r="AE299" s="237"/>
      <c r="AF299" s="237"/>
      <c r="AG299" s="237"/>
      <c r="AH299" s="237"/>
      <c r="AJ299" s="238"/>
    </row>
    <row r="300" spans="1:39" x14ac:dyDescent="0.25">
      <c r="AA300" s="237"/>
      <c r="AB300" s="237"/>
      <c r="AC300" s="237"/>
      <c r="AD300" s="237"/>
      <c r="AE300" s="237"/>
      <c r="AF300" s="237"/>
      <c r="AG300" s="237"/>
      <c r="AH300" s="237"/>
      <c r="AJ300" s="238"/>
    </row>
    <row r="301" spans="1:39" ht="12.75" x14ac:dyDescent="0.2">
      <c r="AL301" s="226"/>
      <c r="AM301" s="226"/>
    </row>
    <row r="302" spans="1:39" ht="12.75" x14ac:dyDescent="0.2">
      <c r="A302" s="236"/>
      <c r="B302" s="236"/>
      <c r="C302" s="236"/>
      <c r="D302" s="236"/>
      <c r="E302" s="237"/>
      <c r="G302" s="237"/>
      <c r="H302" s="237"/>
      <c r="I302" s="237"/>
      <c r="K302" s="237"/>
      <c r="N302" s="237"/>
      <c r="O302" s="237"/>
      <c r="P302" s="237"/>
      <c r="Q302" s="237"/>
      <c r="AL302" s="226"/>
      <c r="AM302" s="226"/>
    </row>
    <row r="303" spans="1:39" x14ac:dyDescent="0.25">
      <c r="AA303" s="237"/>
      <c r="AB303" s="237"/>
      <c r="AC303" s="237"/>
      <c r="AD303" s="237"/>
      <c r="AE303" s="237"/>
      <c r="AF303" s="237"/>
      <c r="AG303" s="237"/>
      <c r="AH303" s="237"/>
      <c r="AJ303" s="238"/>
    </row>
    <row r="304" spans="1:39" x14ac:dyDescent="0.25">
      <c r="AA304" s="237"/>
      <c r="AB304" s="237"/>
      <c r="AC304" s="237"/>
      <c r="AD304" s="237"/>
      <c r="AE304" s="237"/>
      <c r="AF304" s="237"/>
      <c r="AG304" s="237"/>
      <c r="AH304" s="237"/>
      <c r="AJ304" s="238"/>
    </row>
    <row r="305" spans="1:39" x14ac:dyDescent="0.25">
      <c r="AA305" s="237"/>
      <c r="AB305" s="237"/>
      <c r="AC305" s="237"/>
      <c r="AD305" s="237"/>
      <c r="AE305" s="237"/>
      <c r="AF305" s="237"/>
      <c r="AG305" s="237"/>
      <c r="AH305" s="237"/>
      <c r="AJ305" s="238"/>
    </row>
    <row r="306" spans="1:39" x14ac:dyDescent="0.25">
      <c r="AA306" s="237"/>
      <c r="AB306" s="237"/>
      <c r="AC306" s="237"/>
      <c r="AD306" s="237"/>
      <c r="AE306" s="237"/>
      <c r="AF306" s="237"/>
      <c r="AG306" s="237"/>
      <c r="AH306" s="237"/>
      <c r="AJ306" s="238"/>
    </row>
    <row r="307" spans="1:39" x14ac:dyDescent="0.25">
      <c r="AA307" s="237"/>
      <c r="AB307" s="237"/>
      <c r="AC307" s="237"/>
      <c r="AD307" s="237"/>
      <c r="AE307" s="237"/>
      <c r="AF307" s="237"/>
      <c r="AG307" s="237"/>
      <c r="AH307" s="237"/>
      <c r="AJ307" s="238"/>
    </row>
    <row r="308" spans="1:39" x14ac:dyDescent="0.25">
      <c r="AA308" s="237"/>
      <c r="AB308" s="237"/>
      <c r="AC308" s="237"/>
      <c r="AD308" s="237"/>
      <c r="AE308" s="237"/>
      <c r="AF308" s="237"/>
      <c r="AG308" s="237"/>
      <c r="AH308" s="237"/>
      <c r="AJ308" s="238"/>
    </row>
    <row r="309" spans="1:39" x14ac:dyDescent="0.25">
      <c r="AA309" s="237"/>
      <c r="AB309" s="237"/>
      <c r="AC309" s="237"/>
      <c r="AD309" s="237"/>
      <c r="AE309" s="237"/>
      <c r="AF309" s="237"/>
      <c r="AG309" s="237"/>
      <c r="AH309" s="237"/>
      <c r="AJ309" s="238"/>
    </row>
    <row r="310" spans="1:39" x14ac:dyDescent="0.25">
      <c r="AA310" s="237"/>
      <c r="AB310" s="237"/>
      <c r="AC310" s="237"/>
      <c r="AD310" s="237"/>
      <c r="AE310" s="237"/>
      <c r="AF310" s="237"/>
      <c r="AG310" s="237"/>
      <c r="AH310" s="237"/>
      <c r="AJ310" s="238"/>
    </row>
    <row r="311" spans="1:39" ht="12.75" x14ac:dyDescent="0.2">
      <c r="AL311" s="226"/>
      <c r="AM311" s="226"/>
    </row>
    <row r="312" spans="1:39" ht="12.75" x14ac:dyDescent="0.2">
      <c r="A312" s="236"/>
      <c r="B312" s="236"/>
      <c r="C312" s="236"/>
      <c r="D312" s="236"/>
      <c r="E312" s="237"/>
      <c r="G312" s="237"/>
      <c r="H312" s="237"/>
      <c r="I312" s="237"/>
      <c r="K312" s="237"/>
      <c r="N312" s="237"/>
      <c r="O312" s="237"/>
      <c r="P312" s="237"/>
      <c r="Q312" s="237"/>
      <c r="AL312" s="226"/>
      <c r="AM312" s="226"/>
    </row>
    <row r="313" spans="1:39" x14ac:dyDescent="0.25">
      <c r="AA313" s="237"/>
      <c r="AB313" s="237"/>
      <c r="AC313" s="237"/>
      <c r="AD313" s="237"/>
      <c r="AE313" s="237"/>
      <c r="AF313" s="237"/>
      <c r="AG313" s="237"/>
      <c r="AH313" s="237"/>
      <c r="AJ313" s="238"/>
    </row>
    <row r="314" spans="1:39" x14ac:dyDescent="0.25">
      <c r="AA314" s="237"/>
      <c r="AB314" s="237"/>
      <c r="AC314" s="237"/>
      <c r="AD314" s="237"/>
      <c r="AE314" s="237"/>
      <c r="AF314" s="237"/>
      <c r="AG314" s="237"/>
      <c r="AH314" s="237"/>
      <c r="AJ314" s="238"/>
    </row>
    <row r="315" spans="1:39" x14ac:dyDescent="0.25">
      <c r="AA315" s="237"/>
      <c r="AB315" s="237"/>
      <c r="AC315" s="237"/>
      <c r="AD315" s="237"/>
      <c r="AE315" s="237"/>
      <c r="AF315" s="237"/>
      <c r="AG315" s="237"/>
      <c r="AH315" s="237"/>
      <c r="AJ315" s="238"/>
    </row>
    <row r="316" spans="1:39" x14ac:dyDescent="0.25">
      <c r="AA316" s="237"/>
      <c r="AB316" s="237"/>
      <c r="AC316" s="237"/>
      <c r="AD316" s="237"/>
      <c r="AE316" s="237"/>
      <c r="AF316" s="237"/>
      <c r="AG316" s="237"/>
      <c r="AH316" s="237"/>
      <c r="AJ316" s="238"/>
    </row>
    <row r="317" spans="1:39" ht="12.75" x14ac:dyDescent="0.2">
      <c r="AL317" s="226"/>
      <c r="AM317" s="226"/>
    </row>
    <row r="318" spans="1:39" ht="12.75" x14ac:dyDescent="0.2">
      <c r="A318" s="236"/>
      <c r="B318" s="236"/>
      <c r="C318" s="236"/>
      <c r="D318" s="236"/>
      <c r="E318" s="237"/>
      <c r="G318" s="237"/>
      <c r="H318" s="237"/>
      <c r="I318" s="237"/>
      <c r="K318" s="237"/>
      <c r="N318" s="237"/>
      <c r="O318" s="237"/>
      <c r="P318" s="237"/>
      <c r="Q318" s="237"/>
      <c r="AL318" s="226"/>
      <c r="AM318" s="226"/>
    </row>
    <row r="319" spans="1:39" x14ac:dyDescent="0.25">
      <c r="AA319" s="237"/>
      <c r="AB319" s="237"/>
      <c r="AC319" s="237"/>
      <c r="AD319" s="237"/>
      <c r="AE319" s="237"/>
      <c r="AF319" s="237"/>
      <c r="AG319" s="237"/>
      <c r="AH319" s="237"/>
      <c r="AJ319" s="238"/>
    </row>
    <row r="320" spans="1:39" ht="12.75" x14ac:dyDescent="0.2">
      <c r="AL320" s="226"/>
      <c r="AM320" s="226"/>
    </row>
    <row r="321" spans="1:39" ht="12.75" x14ac:dyDescent="0.2">
      <c r="A321" s="236"/>
      <c r="B321" s="236"/>
      <c r="C321" s="236"/>
      <c r="D321" s="236"/>
      <c r="E321" s="237"/>
      <c r="G321" s="237"/>
      <c r="H321" s="237"/>
      <c r="I321" s="237"/>
      <c r="K321" s="237"/>
      <c r="N321" s="237"/>
      <c r="O321" s="237"/>
      <c r="P321" s="237"/>
      <c r="Q321" s="237"/>
      <c r="AL321" s="226"/>
      <c r="AM321" s="226"/>
    </row>
    <row r="322" spans="1:39" x14ac:dyDescent="0.25">
      <c r="AA322" s="237"/>
      <c r="AB322" s="237"/>
      <c r="AC322" s="237"/>
      <c r="AD322" s="237"/>
      <c r="AE322" s="237"/>
      <c r="AF322" s="237"/>
      <c r="AG322" s="237"/>
      <c r="AH322" s="237"/>
      <c r="AJ322" s="238"/>
    </row>
    <row r="323" spans="1:39" x14ac:dyDescent="0.25">
      <c r="AA323" s="237"/>
      <c r="AB323" s="237"/>
      <c r="AC323" s="237"/>
      <c r="AD323" s="237"/>
      <c r="AE323" s="237"/>
      <c r="AF323" s="237"/>
      <c r="AG323" s="237"/>
      <c r="AH323" s="237"/>
      <c r="AJ323" s="238"/>
    </row>
    <row r="324" spans="1:39" ht="12.75" x14ac:dyDescent="0.2">
      <c r="AL324" s="226"/>
      <c r="AM324" s="226"/>
    </row>
    <row r="325" spans="1:39" ht="12.75" x14ac:dyDescent="0.2">
      <c r="A325" s="236"/>
      <c r="B325" s="236"/>
      <c r="C325" s="236"/>
      <c r="D325" s="236"/>
      <c r="E325" s="237"/>
      <c r="G325" s="237"/>
      <c r="H325" s="237"/>
      <c r="I325" s="237"/>
      <c r="K325" s="237"/>
      <c r="N325" s="237"/>
      <c r="O325" s="237"/>
      <c r="P325" s="237"/>
      <c r="Q325" s="237"/>
      <c r="AL325" s="226"/>
      <c r="AM325" s="226"/>
    </row>
    <row r="326" spans="1:39" x14ac:dyDescent="0.25">
      <c r="AA326" s="237"/>
      <c r="AB326" s="237"/>
      <c r="AC326" s="237"/>
      <c r="AD326" s="237"/>
      <c r="AE326" s="237"/>
      <c r="AF326" s="237"/>
      <c r="AG326" s="237"/>
      <c r="AH326" s="237"/>
      <c r="AJ326" s="238"/>
    </row>
    <row r="327" spans="1:39" ht="12.75" x14ac:dyDescent="0.2">
      <c r="AL327" s="226"/>
      <c r="AM327" s="226"/>
    </row>
    <row r="328" spans="1:39" ht="12.75" x14ac:dyDescent="0.2">
      <c r="A328" s="236"/>
      <c r="B328" s="236"/>
      <c r="C328" s="236"/>
      <c r="D328" s="236"/>
      <c r="E328" s="237"/>
      <c r="G328" s="237"/>
      <c r="H328" s="237"/>
      <c r="I328" s="237"/>
      <c r="K328" s="237"/>
      <c r="N328" s="237"/>
      <c r="O328" s="237"/>
      <c r="P328" s="237"/>
      <c r="Q328" s="237"/>
      <c r="AL328" s="226"/>
      <c r="AM328" s="226"/>
    </row>
    <row r="329" spans="1:39" x14ac:dyDescent="0.25">
      <c r="AA329" s="237"/>
      <c r="AB329" s="237"/>
      <c r="AC329" s="237"/>
      <c r="AD329" s="237"/>
      <c r="AE329" s="237"/>
      <c r="AF329" s="237"/>
      <c r="AG329" s="237"/>
      <c r="AH329" s="237"/>
      <c r="AJ329" s="238"/>
    </row>
    <row r="330" spans="1:39" ht="12.75" x14ac:dyDescent="0.2">
      <c r="AL330" s="226"/>
      <c r="AM330" s="226"/>
    </row>
    <row r="331" spans="1:39" ht="12.75" x14ac:dyDescent="0.2">
      <c r="A331" s="236"/>
      <c r="B331" s="236"/>
      <c r="C331" s="236"/>
      <c r="D331" s="236"/>
      <c r="E331" s="237"/>
      <c r="G331" s="237"/>
      <c r="H331" s="237"/>
      <c r="I331" s="237"/>
      <c r="K331" s="237"/>
      <c r="N331" s="237"/>
      <c r="O331" s="237"/>
      <c r="P331" s="237"/>
      <c r="Q331" s="237"/>
      <c r="AL331" s="226"/>
      <c r="AM331" s="226"/>
    </row>
    <row r="332" spans="1:39" x14ac:dyDescent="0.25">
      <c r="AA332" s="237"/>
      <c r="AB332" s="237"/>
      <c r="AC332" s="237"/>
      <c r="AD332" s="237"/>
      <c r="AE332" s="237"/>
      <c r="AF332" s="237"/>
      <c r="AG332" s="237"/>
      <c r="AH332" s="237"/>
      <c r="AJ332" s="238"/>
    </row>
    <row r="333" spans="1:39" x14ac:dyDescent="0.25">
      <c r="AA333" s="237"/>
      <c r="AB333" s="237"/>
      <c r="AC333" s="237"/>
      <c r="AD333" s="237"/>
      <c r="AE333" s="237"/>
      <c r="AF333" s="237"/>
      <c r="AG333" s="237"/>
      <c r="AH333" s="237"/>
      <c r="AJ333" s="238"/>
    </row>
    <row r="334" spans="1:39" ht="12.75" x14ac:dyDescent="0.2">
      <c r="AL334" s="226"/>
      <c r="AM334" s="226"/>
    </row>
    <row r="335" spans="1:39" ht="12.75" x14ac:dyDescent="0.2">
      <c r="A335" s="236"/>
      <c r="B335" s="236"/>
      <c r="C335" s="236"/>
      <c r="D335" s="236"/>
      <c r="E335" s="237"/>
      <c r="G335" s="237"/>
      <c r="H335" s="237"/>
      <c r="I335" s="237"/>
      <c r="K335" s="237"/>
      <c r="N335" s="237"/>
      <c r="O335" s="237"/>
      <c r="P335" s="237"/>
      <c r="Q335" s="237"/>
      <c r="AL335" s="226"/>
      <c r="AM335" s="226"/>
    </row>
    <row r="336" spans="1:39" x14ac:dyDescent="0.25">
      <c r="AA336" s="237"/>
      <c r="AB336" s="237"/>
      <c r="AC336" s="237"/>
      <c r="AD336" s="237"/>
      <c r="AE336" s="237"/>
      <c r="AF336" s="237"/>
      <c r="AG336" s="237"/>
      <c r="AH336" s="237"/>
      <c r="AJ336" s="238"/>
    </row>
    <row r="337" spans="1:39" ht="12.75" x14ac:dyDescent="0.2">
      <c r="AL337" s="226"/>
      <c r="AM337" s="226"/>
    </row>
    <row r="338" spans="1:39" ht="12.75" x14ac:dyDescent="0.2">
      <c r="A338" s="236"/>
      <c r="B338" s="236"/>
      <c r="C338" s="236"/>
      <c r="D338" s="236"/>
      <c r="E338" s="237"/>
      <c r="G338" s="237"/>
      <c r="H338" s="237"/>
      <c r="I338" s="237"/>
      <c r="K338" s="237"/>
      <c r="N338" s="237"/>
      <c r="O338" s="237"/>
      <c r="P338" s="237"/>
      <c r="Q338" s="237"/>
      <c r="AL338" s="226"/>
      <c r="AM338" s="226"/>
    </row>
    <row r="339" spans="1:39" x14ac:dyDescent="0.25">
      <c r="AA339" s="237"/>
      <c r="AB339" s="237"/>
      <c r="AC339" s="237"/>
      <c r="AD339" s="237"/>
      <c r="AE339" s="237"/>
      <c r="AF339" s="237"/>
      <c r="AG339" s="237"/>
      <c r="AH339" s="237"/>
      <c r="AJ339" s="238"/>
    </row>
    <row r="340" spans="1:39" ht="12.75" x14ac:dyDescent="0.2">
      <c r="AL340" s="226"/>
      <c r="AM340" s="226"/>
    </row>
    <row r="341" spans="1:39" ht="12.75" x14ac:dyDescent="0.2">
      <c r="A341" s="236"/>
      <c r="B341" s="236"/>
      <c r="C341" s="236"/>
      <c r="D341" s="236"/>
      <c r="E341" s="237"/>
      <c r="G341" s="237"/>
      <c r="H341" s="237"/>
      <c r="I341" s="237"/>
      <c r="K341" s="237"/>
      <c r="N341" s="237"/>
      <c r="O341" s="237"/>
      <c r="P341" s="237"/>
      <c r="Q341" s="237"/>
      <c r="AL341" s="226"/>
      <c r="AM341" s="226"/>
    </row>
    <row r="342" spans="1:39" x14ac:dyDescent="0.25">
      <c r="AA342" s="237"/>
      <c r="AB342" s="237"/>
      <c r="AC342" s="237"/>
      <c r="AD342" s="237"/>
      <c r="AE342" s="237"/>
      <c r="AF342" s="237"/>
      <c r="AG342" s="237"/>
      <c r="AH342" s="237"/>
      <c r="AJ342" s="238"/>
    </row>
    <row r="343" spans="1:39" ht="12.75" x14ac:dyDescent="0.2">
      <c r="AL343" s="226"/>
      <c r="AM343" s="226"/>
    </row>
    <row r="344" spans="1:39" ht="12.75" x14ac:dyDescent="0.2">
      <c r="A344" s="236"/>
      <c r="B344" s="236"/>
      <c r="C344" s="236"/>
      <c r="D344" s="236"/>
      <c r="E344" s="237"/>
      <c r="G344" s="237"/>
      <c r="H344" s="237"/>
      <c r="I344" s="237"/>
      <c r="K344" s="237"/>
      <c r="N344" s="237"/>
      <c r="O344" s="237"/>
      <c r="P344" s="237"/>
      <c r="Q344" s="237"/>
      <c r="AL344" s="226"/>
      <c r="AM344" s="226"/>
    </row>
    <row r="345" spans="1:39" x14ac:dyDescent="0.25">
      <c r="AA345" s="237"/>
      <c r="AB345" s="237"/>
      <c r="AC345" s="237"/>
      <c r="AD345" s="237"/>
      <c r="AE345" s="237"/>
      <c r="AF345" s="237"/>
      <c r="AG345" s="237"/>
      <c r="AH345" s="237"/>
      <c r="AJ345" s="238"/>
    </row>
    <row r="346" spans="1:39" ht="12.75" x14ac:dyDescent="0.2">
      <c r="AL346" s="226"/>
      <c r="AM346" s="226"/>
    </row>
    <row r="347" spans="1:39" ht="12.75" x14ac:dyDescent="0.2">
      <c r="A347" s="236"/>
      <c r="B347" s="236"/>
      <c r="C347" s="236"/>
      <c r="D347" s="236"/>
      <c r="E347" s="237"/>
      <c r="G347" s="237"/>
      <c r="H347" s="237"/>
      <c r="I347" s="237"/>
      <c r="K347" s="237"/>
      <c r="N347" s="237"/>
      <c r="O347" s="237"/>
      <c r="P347" s="237"/>
      <c r="Q347" s="237"/>
      <c r="AL347" s="226"/>
      <c r="AM347" s="226"/>
    </row>
    <row r="348" spans="1:39" x14ac:dyDescent="0.25">
      <c r="AA348" s="237"/>
      <c r="AB348" s="237"/>
      <c r="AC348" s="237"/>
      <c r="AD348" s="237"/>
      <c r="AE348" s="237"/>
      <c r="AF348" s="237"/>
      <c r="AG348" s="237"/>
      <c r="AH348" s="237"/>
      <c r="AJ348" s="238"/>
    </row>
    <row r="349" spans="1:39" x14ac:dyDescent="0.25">
      <c r="AA349" s="237"/>
      <c r="AB349" s="237"/>
      <c r="AC349" s="237"/>
      <c r="AD349" s="237"/>
      <c r="AE349" s="237"/>
      <c r="AF349" s="237"/>
      <c r="AG349" s="237"/>
      <c r="AH349" s="237"/>
      <c r="AJ349" s="238"/>
    </row>
    <row r="350" spans="1:39" ht="12.75" x14ac:dyDescent="0.2">
      <c r="AL350" s="226"/>
      <c r="AM350" s="226"/>
    </row>
    <row r="351" spans="1:39" ht="12.75" x14ac:dyDescent="0.2">
      <c r="A351" s="236"/>
      <c r="B351" s="236"/>
      <c r="C351" s="236"/>
      <c r="D351" s="236"/>
      <c r="E351" s="237"/>
      <c r="G351" s="237"/>
      <c r="H351" s="237"/>
      <c r="I351" s="237"/>
      <c r="K351" s="237"/>
      <c r="N351" s="237"/>
      <c r="O351" s="237"/>
      <c r="P351" s="237"/>
      <c r="Q351" s="237"/>
      <c r="AL351" s="226"/>
      <c r="AM351" s="226"/>
    </row>
    <row r="352" spans="1:39" x14ac:dyDescent="0.25">
      <c r="AA352" s="237"/>
      <c r="AB352" s="237"/>
      <c r="AC352" s="237"/>
      <c r="AD352" s="237"/>
      <c r="AE352" s="237"/>
      <c r="AF352" s="237"/>
      <c r="AG352" s="237"/>
      <c r="AH352" s="237"/>
      <c r="AJ352" s="238"/>
    </row>
    <row r="353" spans="1:39" ht="12.75" x14ac:dyDescent="0.2">
      <c r="AL353" s="226"/>
      <c r="AM353" s="226"/>
    </row>
    <row r="354" spans="1:39" ht="12.75" x14ac:dyDescent="0.2">
      <c r="A354" s="236"/>
      <c r="B354" s="236"/>
      <c r="C354" s="236"/>
      <c r="D354" s="236"/>
      <c r="E354" s="237"/>
      <c r="G354" s="237"/>
      <c r="H354" s="237"/>
      <c r="I354" s="237"/>
      <c r="K354" s="237"/>
      <c r="N354" s="237"/>
      <c r="O354" s="237"/>
      <c r="P354" s="237"/>
      <c r="Q354" s="237"/>
      <c r="AL354" s="226"/>
      <c r="AM354" s="226"/>
    </row>
    <row r="355" spans="1:39" x14ac:dyDescent="0.25">
      <c r="AA355" s="237"/>
      <c r="AB355" s="237"/>
      <c r="AC355" s="237"/>
      <c r="AD355" s="237"/>
      <c r="AE355" s="237"/>
      <c r="AF355" s="237"/>
      <c r="AG355" s="237"/>
      <c r="AH355" s="237"/>
      <c r="AJ355" s="238"/>
    </row>
    <row r="356" spans="1:39" x14ac:dyDescent="0.25">
      <c r="AA356" s="237"/>
      <c r="AB356" s="237"/>
      <c r="AC356" s="237"/>
      <c r="AD356" s="237"/>
      <c r="AE356" s="237"/>
      <c r="AF356" s="237"/>
      <c r="AG356" s="237"/>
      <c r="AH356" s="237"/>
      <c r="AJ356" s="238"/>
    </row>
    <row r="357" spans="1:39" ht="12.75" x14ac:dyDescent="0.2">
      <c r="AL357" s="226"/>
      <c r="AM357" s="226"/>
    </row>
    <row r="358" spans="1:39" ht="12.75" x14ac:dyDescent="0.2">
      <c r="A358" s="236"/>
      <c r="B358" s="236"/>
      <c r="C358" s="236"/>
      <c r="D358" s="236"/>
      <c r="E358" s="237"/>
      <c r="G358" s="237"/>
      <c r="H358" s="237"/>
      <c r="I358" s="237"/>
      <c r="K358" s="237"/>
      <c r="N358" s="237"/>
      <c r="O358" s="237"/>
      <c r="P358" s="237"/>
      <c r="Q358" s="237"/>
      <c r="AL358" s="226"/>
      <c r="AM358" s="226"/>
    </row>
    <row r="359" spans="1:39" x14ac:dyDescent="0.25">
      <c r="AA359" s="237"/>
      <c r="AB359" s="237"/>
      <c r="AC359" s="237"/>
      <c r="AD359" s="237"/>
      <c r="AE359" s="237"/>
      <c r="AF359" s="237"/>
      <c r="AG359" s="237"/>
      <c r="AH359" s="237"/>
      <c r="AJ359" s="238"/>
    </row>
    <row r="360" spans="1:39" x14ac:dyDescent="0.25">
      <c r="AA360" s="237"/>
      <c r="AB360" s="237"/>
      <c r="AC360" s="237"/>
      <c r="AD360" s="237"/>
      <c r="AE360" s="237"/>
      <c r="AF360" s="237"/>
      <c r="AG360" s="237"/>
      <c r="AH360" s="237"/>
      <c r="AJ360" s="238"/>
    </row>
    <row r="361" spans="1:39" x14ac:dyDescent="0.25">
      <c r="AA361" s="237"/>
      <c r="AB361" s="237"/>
      <c r="AC361" s="237"/>
      <c r="AD361" s="237"/>
      <c r="AE361" s="237"/>
      <c r="AF361" s="237"/>
      <c r="AG361" s="237"/>
      <c r="AH361" s="237"/>
      <c r="AJ361" s="238"/>
    </row>
    <row r="362" spans="1:39" ht="12.75" x14ac:dyDescent="0.2">
      <c r="AL362" s="226"/>
      <c r="AM362" s="226"/>
    </row>
    <row r="363" spans="1:39" ht="12.75" x14ac:dyDescent="0.2">
      <c r="A363" s="236"/>
      <c r="B363" s="236"/>
      <c r="C363" s="236"/>
      <c r="D363" s="236"/>
      <c r="E363" s="237"/>
      <c r="G363" s="237"/>
      <c r="H363" s="237"/>
      <c r="I363" s="237"/>
      <c r="K363" s="237"/>
      <c r="N363" s="237"/>
      <c r="O363" s="237"/>
      <c r="P363" s="237"/>
      <c r="Q363" s="237"/>
      <c r="AL363" s="226"/>
      <c r="AM363" s="226"/>
    </row>
    <row r="364" spans="1:39" x14ac:dyDescent="0.25">
      <c r="AA364" s="237"/>
      <c r="AB364" s="237"/>
      <c r="AC364" s="237"/>
      <c r="AD364" s="237"/>
      <c r="AE364" s="237"/>
      <c r="AF364" s="237"/>
      <c r="AG364" s="237"/>
      <c r="AH364" s="237"/>
      <c r="AJ364" s="238"/>
    </row>
    <row r="365" spans="1:39" x14ac:dyDescent="0.25">
      <c r="AA365" s="237"/>
      <c r="AB365" s="237"/>
      <c r="AC365" s="237"/>
      <c r="AD365" s="237"/>
      <c r="AE365" s="237"/>
      <c r="AF365" s="237"/>
      <c r="AG365" s="237"/>
      <c r="AH365" s="237"/>
      <c r="AJ365" s="238"/>
    </row>
    <row r="366" spans="1:39" x14ac:dyDescent="0.25">
      <c r="AA366" s="237"/>
      <c r="AB366" s="237"/>
      <c r="AC366" s="237"/>
      <c r="AD366" s="237"/>
      <c r="AE366" s="237"/>
      <c r="AF366" s="237"/>
      <c r="AG366" s="237"/>
      <c r="AH366" s="237"/>
      <c r="AJ366" s="238"/>
    </row>
    <row r="367" spans="1:39" x14ac:dyDescent="0.25">
      <c r="AA367" s="237"/>
      <c r="AB367" s="237"/>
      <c r="AC367" s="237"/>
      <c r="AD367" s="237"/>
      <c r="AE367" s="237"/>
      <c r="AF367" s="237"/>
      <c r="AG367" s="237"/>
      <c r="AH367" s="237"/>
      <c r="AJ367" s="238"/>
    </row>
    <row r="368" spans="1:39" ht="12.75" x14ac:dyDescent="0.2">
      <c r="AL368" s="226"/>
      <c r="AM368" s="226"/>
    </row>
    <row r="369" spans="1:39" ht="12.75" x14ac:dyDescent="0.2">
      <c r="A369" s="236"/>
      <c r="B369" s="236"/>
      <c r="C369" s="236"/>
      <c r="D369" s="236"/>
      <c r="E369" s="237"/>
      <c r="G369" s="237"/>
      <c r="H369" s="237"/>
      <c r="I369" s="237"/>
      <c r="K369" s="237"/>
      <c r="N369" s="237"/>
      <c r="O369" s="237"/>
      <c r="P369" s="237"/>
      <c r="Q369" s="237"/>
      <c r="AL369" s="226"/>
      <c r="AM369" s="226"/>
    </row>
    <row r="370" spans="1:39" x14ac:dyDescent="0.25">
      <c r="AA370" s="237"/>
      <c r="AB370" s="237"/>
      <c r="AC370" s="237"/>
      <c r="AD370" s="237"/>
      <c r="AE370" s="237"/>
      <c r="AF370" s="237"/>
      <c r="AG370" s="237"/>
      <c r="AH370" s="237"/>
      <c r="AJ370" s="238"/>
    </row>
    <row r="371" spans="1:39" ht="12.75" x14ac:dyDescent="0.2">
      <c r="AL371" s="226"/>
      <c r="AM371" s="226"/>
    </row>
    <row r="372" spans="1:39" ht="12.75" x14ac:dyDescent="0.2">
      <c r="A372" s="236"/>
      <c r="B372" s="236"/>
      <c r="C372" s="236"/>
      <c r="D372" s="236"/>
      <c r="E372" s="237"/>
      <c r="G372" s="237"/>
      <c r="H372" s="237"/>
      <c r="I372" s="237"/>
      <c r="K372" s="237"/>
      <c r="N372" s="237"/>
      <c r="O372" s="237"/>
      <c r="P372" s="237"/>
      <c r="Q372" s="237"/>
      <c r="AL372" s="226"/>
      <c r="AM372" s="226"/>
    </row>
    <row r="373" spans="1:39" x14ac:dyDescent="0.25">
      <c r="AA373" s="237"/>
      <c r="AB373" s="237"/>
      <c r="AC373" s="237"/>
      <c r="AD373" s="237"/>
      <c r="AE373" s="237"/>
      <c r="AF373" s="237"/>
      <c r="AG373" s="237"/>
      <c r="AH373" s="237"/>
      <c r="AJ373" s="238"/>
    </row>
    <row r="374" spans="1:39" ht="12.75" x14ac:dyDescent="0.2">
      <c r="AL374" s="226"/>
      <c r="AM374" s="226"/>
    </row>
    <row r="375" spans="1:39" ht="12.75" x14ac:dyDescent="0.2">
      <c r="A375" s="236"/>
      <c r="B375" s="236"/>
      <c r="C375" s="236"/>
      <c r="D375" s="236"/>
      <c r="E375" s="237"/>
      <c r="G375" s="237"/>
      <c r="H375" s="237"/>
      <c r="I375" s="237"/>
      <c r="K375" s="237"/>
      <c r="N375" s="237"/>
      <c r="O375" s="237"/>
      <c r="P375" s="237"/>
      <c r="Q375" s="237"/>
      <c r="AL375" s="226"/>
      <c r="AM375" s="226"/>
    </row>
    <row r="376" spans="1:39" x14ac:dyDescent="0.25">
      <c r="AA376" s="237"/>
      <c r="AB376" s="237"/>
      <c r="AC376" s="237"/>
      <c r="AD376" s="237"/>
      <c r="AE376" s="237"/>
      <c r="AF376" s="237"/>
      <c r="AG376" s="237"/>
      <c r="AH376" s="237"/>
      <c r="AJ376" s="238"/>
    </row>
    <row r="377" spans="1:39" ht="12.75" x14ac:dyDescent="0.2">
      <c r="AL377" s="226"/>
      <c r="AM377" s="226"/>
    </row>
    <row r="378" spans="1:39" ht="12.75" x14ac:dyDescent="0.2">
      <c r="A378" s="236"/>
      <c r="B378" s="236"/>
      <c r="C378" s="236"/>
      <c r="D378" s="236"/>
      <c r="E378" s="237"/>
      <c r="G378" s="237"/>
      <c r="H378" s="237"/>
      <c r="I378" s="237"/>
      <c r="K378" s="237"/>
      <c r="N378" s="237"/>
      <c r="O378" s="237"/>
      <c r="P378" s="237"/>
      <c r="Q378" s="237"/>
      <c r="AL378" s="226"/>
      <c r="AM378" s="226"/>
    </row>
    <row r="379" spans="1:39" x14ac:dyDescent="0.25">
      <c r="AA379" s="237"/>
      <c r="AB379" s="237"/>
      <c r="AC379" s="237"/>
      <c r="AD379" s="237"/>
      <c r="AE379" s="237"/>
      <c r="AF379" s="237"/>
      <c r="AG379" s="237"/>
      <c r="AH379" s="237"/>
      <c r="AJ379" s="238"/>
    </row>
    <row r="380" spans="1:39" ht="12.75" x14ac:dyDescent="0.2">
      <c r="AL380" s="226"/>
      <c r="AM380" s="226"/>
    </row>
    <row r="381" spans="1:39" ht="12.75" x14ac:dyDescent="0.2">
      <c r="A381" s="236"/>
      <c r="B381" s="236"/>
      <c r="C381" s="236"/>
      <c r="D381" s="236"/>
      <c r="E381" s="237"/>
      <c r="G381" s="237"/>
      <c r="H381" s="237"/>
      <c r="I381" s="237"/>
      <c r="K381" s="237"/>
      <c r="N381" s="237"/>
      <c r="O381" s="237"/>
      <c r="P381" s="237"/>
      <c r="Q381" s="237"/>
      <c r="AL381" s="226"/>
      <c r="AM381" s="226"/>
    </row>
    <row r="382" spans="1:39" x14ac:dyDescent="0.25">
      <c r="AA382" s="237"/>
      <c r="AB382" s="237"/>
      <c r="AC382" s="237"/>
      <c r="AD382" s="237"/>
      <c r="AE382" s="237"/>
      <c r="AF382" s="237"/>
      <c r="AG382" s="237"/>
      <c r="AH382" s="237"/>
      <c r="AJ382" s="238"/>
    </row>
    <row r="383" spans="1:39" ht="12.75" x14ac:dyDescent="0.2">
      <c r="AL383" s="226"/>
      <c r="AM383" s="226"/>
    </row>
    <row r="384" spans="1:39" ht="12.75" x14ac:dyDescent="0.2">
      <c r="A384" s="236"/>
      <c r="B384" s="236"/>
      <c r="C384" s="236"/>
      <c r="D384" s="236"/>
      <c r="E384" s="237"/>
      <c r="G384" s="237"/>
      <c r="H384" s="237"/>
      <c r="I384" s="237"/>
      <c r="K384" s="237"/>
      <c r="N384" s="237"/>
      <c r="O384" s="237"/>
      <c r="P384" s="237"/>
      <c r="Q384" s="237"/>
      <c r="AL384" s="226"/>
      <c r="AM384" s="226"/>
    </row>
    <row r="385" spans="1:39" x14ac:dyDescent="0.25">
      <c r="AA385" s="237"/>
      <c r="AB385" s="237"/>
      <c r="AC385" s="237"/>
      <c r="AD385" s="237"/>
      <c r="AE385" s="237"/>
      <c r="AF385" s="237"/>
      <c r="AG385" s="237"/>
      <c r="AH385" s="237"/>
      <c r="AJ385" s="238"/>
    </row>
    <row r="386" spans="1:39" ht="12.75" x14ac:dyDescent="0.2">
      <c r="AL386" s="226"/>
      <c r="AM386" s="226"/>
    </row>
    <row r="387" spans="1:39" ht="12.75" x14ac:dyDescent="0.2">
      <c r="A387" s="236"/>
      <c r="B387" s="236"/>
      <c r="C387" s="236"/>
      <c r="D387" s="236"/>
      <c r="E387" s="237"/>
      <c r="G387" s="237"/>
      <c r="H387" s="237"/>
      <c r="I387" s="237"/>
      <c r="K387" s="237"/>
      <c r="N387" s="237"/>
      <c r="O387" s="237"/>
      <c r="P387" s="237"/>
      <c r="Q387" s="237"/>
      <c r="AL387" s="226"/>
      <c r="AM387" s="226"/>
    </row>
    <row r="388" spans="1:39" x14ac:dyDescent="0.25">
      <c r="AA388" s="237"/>
      <c r="AB388" s="237"/>
      <c r="AC388" s="237"/>
      <c r="AD388" s="237"/>
      <c r="AE388" s="237"/>
      <c r="AF388" s="237"/>
      <c r="AG388" s="237"/>
      <c r="AH388" s="237"/>
      <c r="AJ388" s="238"/>
    </row>
    <row r="389" spans="1:39" ht="12.75" x14ac:dyDescent="0.2">
      <c r="AL389" s="226"/>
      <c r="AM389" s="226"/>
    </row>
    <row r="390" spans="1:39" ht="12.75" x14ac:dyDescent="0.2">
      <c r="A390" s="236"/>
      <c r="B390" s="236"/>
      <c r="C390" s="236"/>
      <c r="D390" s="236"/>
      <c r="E390" s="237"/>
      <c r="G390" s="237"/>
      <c r="H390" s="237"/>
      <c r="I390" s="237"/>
      <c r="K390" s="237"/>
      <c r="N390" s="237"/>
      <c r="O390" s="237"/>
      <c r="P390" s="237"/>
      <c r="Q390" s="237"/>
      <c r="AL390" s="226"/>
      <c r="AM390" s="226"/>
    </row>
    <row r="391" spans="1:39" x14ac:dyDescent="0.25">
      <c r="AA391" s="237"/>
      <c r="AB391" s="237"/>
      <c r="AC391" s="237"/>
      <c r="AD391" s="237"/>
      <c r="AE391" s="237"/>
      <c r="AF391" s="237"/>
      <c r="AG391" s="237"/>
      <c r="AH391" s="237"/>
      <c r="AJ391" s="238"/>
    </row>
    <row r="392" spans="1:39" x14ac:dyDescent="0.25">
      <c r="AA392" s="237"/>
      <c r="AB392" s="237"/>
      <c r="AC392" s="237"/>
      <c r="AD392" s="237"/>
      <c r="AE392" s="237"/>
      <c r="AF392" s="237"/>
      <c r="AG392" s="237"/>
      <c r="AH392" s="237"/>
      <c r="AJ392" s="238"/>
    </row>
    <row r="393" spans="1:39" x14ac:dyDescent="0.25">
      <c r="AA393" s="237"/>
      <c r="AB393" s="237"/>
      <c r="AC393" s="237"/>
      <c r="AD393" s="237"/>
      <c r="AE393" s="237"/>
      <c r="AF393" s="237"/>
      <c r="AG393" s="237"/>
      <c r="AH393" s="237"/>
      <c r="AJ393" s="238"/>
    </row>
    <row r="394" spans="1:39" ht="12.75" x14ac:dyDescent="0.2">
      <c r="AL394" s="226"/>
      <c r="AM394" s="226"/>
    </row>
    <row r="395" spans="1:39" ht="12.75" x14ac:dyDescent="0.2">
      <c r="A395" s="236"/>
      <c r="B395" s="236"/>
      <c r="C395" s="236"/>
      <c r="D395" s="236"/>
      <c r="E395" s="237"/>
      <c r="G395" s="237"/>
      <c r="H395" s="237"/>
      <c r="I395" s="237"/>
      <c r="K395" s="237"/>
      <c r="N395" s="237"/>
      <c r="O395" s="237"/>
      <c r="P395" s="237"/>
      <c r="Q395" s="237"/>
      <c r="AL395" s="226"/>
      <c r="AM395" s="226"/>
    </row>
    <row r="396" spans="1:39" x14ac:dyDescent="0.25">
      <c r="AA396" s="237"/>
      <c r="AB396" s="237"/>
      <c r="AC396" s="237"/>
      <c r="AD396" s="237"/>
      <c r="AE396" s="237"/>
      <c r="AF396" s="237"/>
      <c r="AG396" s="237"/>
      <c r="AH396" s="237"/>
      <c r="AJ396" s="238"/>
    </row>
    <row r="397" spans="1:39" x14ac:dyDescent="0.25">
      <c r="AA397" s="237"/>
      <c r="AB397" s="237"/>
      <c r="AC397" s="237"/>
      <c r="AD397" s="237"/>
      <c r="AE397" s="237"/>
      <c r="AF397" s="237"/>
      <c r="AG397" s="237"/>
      <c r="AH397" s="237"/>
      <c r="AJ397" s="238"/>
    </row>
    <row r="398" spans="1:39" x14ac:dyDescent="0.25">
      <c r="AA398" s="237"/>
      <c r="AB398" s="237"/>
      <c r="AC398" s="237"/>
      <c r="AD398" s="237"/>
      <c r="AE398" s="237"/>
      <c r="AF398" s="237"/>
      <c r="AG398" s="237"/>
      <c r="AH398" s="237"/>
      <c r="AJ398" s="238"/>
    </row>
    <row r="399" spans="1:39" x14ac:dyDescent="0.25">
      <c r="AA399" s="237"/>
      <c r="AB399" s="237"/>
      <c r="AC399" s="237"/>
      <c r="AD399" s="237"/>
      <c r="AE399" s="237"/>
      <c r="AF399" s="237"/>
      <c r="AG399" s="237"/>
      <c r="AH399" s="237"/>
      <c r="AJ399" s="238"/>
    </row>
    <row r="400" spans="1:39" ht="12.75" x14ac:dyDescent="0.2">
      <c r="AL400" s="226"/>
      <c r="AM400" s="226"/>
    </row>
    <row r="401" spans="1:39" ht="12.75" x14ac:dyDescent="0.2">
      <c r="A401" s="236"/>
      <c r="B401" s="236"/>
      <c r="C401" s="236"/>
      <c r="D401" s="236"/>
      <c r="E401" s="237"/>
      <c r="G401" s="237"/>
      <c r="H401" s="237"/>
      <c r="I401" s="237"/>
      <c r="K401" s="237"/>
      <c r="N401" s="237"/>
      <c r="O401" s="237"/>
      <c r="P401" s="237"/>
      <c r="Q401" s="237"/>
      <c r="AL401" s="226"/>
      <c r="AM401" s="226"/>
    </row>
    <row r="402" spans="1:39" x14ac:dyDescent="0.25">
      <c r="AA402" s="237"/>
      <c r="AB402" s="237"/>
      <c r="AC402" s="237"/>
      <c r="AD402" s="237"/>
      <c r="AE402" s="237"/>
      <c r="AF402" s="237"/>
      <c r="AG402" s="237"/>
      <c r="AH402" s="237"/>
      <c r="AJ402" s="238"/>
    </row>
    <row r="403" spans="1:39" x14ac:dyDescent="0.25">
      <c r="AA403" s="237"/>
      <c r="AB403" s="237"/>
      <c r="AC403" s="237"/>
      <c r="AD403" s="237"/>
      <c r="AE403" s="237"/>
      <c r="AF403" s="237"/>
      <c r="AG403" s="237"/>
      <c r="AH403" s="237"/>
      <c r="AJ403" s="238"/>
    </row>
    <row r="404" spans="1:39" ht="12.75" x14ac:dyDescent="0.2">
      <c r="AL404" s="226"/>
      <c r="AM404" s="226"/>
    </row>
    <row r="405" spans="1:39" ht="12.75" x14ac:dyDescent="0.2">
      <c r="A405" s="236"/>
      <c r="B405" s="236"/>
      <c r="C405" s="236"/>
      <c r="D405" s="236"/>
      <c r="E405" s="237"/>
      <c r="G405" s="237"/>
      <c r="H405" s="237"/>
      <c r="I405" s="237"/>
      <c r="K405" s="237"/>
      <c r="N405" s="237"/>
      <c r="O405" s="237"/>
      <c r="P405" s="237"/>
      <c r="Q405" s="237"/>
      <c r="AL405" s="226"/>
      <c r="AM405" s="226"/>
    </row>
    <row r="406" spans="1:39" x14ac:dyDescent="0.25">
      <c r="AA406" s="237"/>
      <c r="AB406" s="237"/>
      <c r="AC406" s="237"/>
      <c r="AD406" s="237"/>
      <c r="AE406" s="237"/>
      <c r="AF406" s="237"/>
      <c r="AG406" s="237"/>
      <c r="AH406" s="237"/>
      <c r="AJ406" s="238"/>
    </row>
    <row r="407" spans="1:39" x14ac:dyDescent="0.25">
      <c r="AA407" s="237"/>
      <c r="AB407" s="237"/>
      <c r="AC407" s="237"/>
      <c r="AD407" s="237"/>
      <c r="AE407" s="237"/>
      <c r="AF407" s="237"/>
      <c r="AG407" s="237"/>
      <c r="AH407" s="237"/>
      <c r="AJ407" s="238"/>
    </row>
    <row r="408" spans="1:39" x14ac:dyDescent="0.25">
      <c r="AA408" s="237"/>
      <c r="AB408" s="237"/>
      <c r="AC408" s="237"/>
      <c r="AD408" s="237"/>
      <c r="AE408" s="237"/>
      <c r="AF408" s="237"/>
      <c r="AG408" s="237"/>
      <c r="AH408" s="237"/>
      <c r="AJ408" s="238"/>
    </row>
    <row r="409" spans="1:39" ht="12.75" x14ac:dyDescent="0.2">
      <c r="AL409" s="226"/>
      <c r="AM409" s="226"/>
    </row>
    <row r="410" spans="1:39" ht="12.75" x14ac:dyDescent="0.2">
      <c r="A410" s="236"/>
      <c r="B410" s="236"/>
      <c r="C410" s="236"/>
      <c r="D410" s="236"/>
      <c r="E410" s="237"/>
      <c r="G410" s="237"/>
      <c r="H410" s="237"/>
      <c r="I410" s="237"/>
      <c r="K410" s="237"/>
      <c r="N410" s="237"/>
      <c r="O410" s="237"/>
      <c r="P410" s="237"/>
      <c r="Q410" s="237"/>
      <c r="AL410" s="226"/>
      <c r="AM410" s="226"/>
    </row>
    <row r="411" spans="1:39" x14ac:dyDescent="0.25">
      <c r="AA411" s="237"/>
      <c r="AB411" s="237"/>
      <c r="AC411" s="237"/>
      <c r="AD411" s="237"/>
      <c r="AE411" s="237"/>
      <c r="AF411" s="237"/>
      <c r="AG411" s="237"/>
      <c r="AH411" s="237"/>
      <c r="AJ411" s="238"/>
    </row>
    <row r="412" spans="1:39" x14ac:dyDescent="0.25">
      <c r="AA412" s="237"/>
      <c r="AB412" s="237"/>
      <c r="AC412" s="237"/>
      <c r="AD412" s="237"/>
      <c r="AE412" s="237"/>
      <c r="AF412" s="237"/>
      <c r="AG412" s="237"/>
      <c r="AH412" s="237"/>
      <c r="AJ412" s="238"/>
    </row>
    <row r="413" spans="1:39" ht="12.75" x14ac:dyDescent="0.2">
      <c r="AL413" s="226"/>
      <c r="AM413" s="226"/>
    </row>
    <row r="414" spans="1:39" ht="12.75" x14ac:dyDescent="0.2">
      <c r="A414" s="236"/>
      <c r="B414" s="236"/>
      <c r="C414" s="236"/>
      <c r="D414" s="236"/>
      <c r="E414" s="237"/>
      <c r="G414" s="237"/>
      <c r="H414" s="237"/>
      <c r="I414" s="237"/>
      <c r="K414" s="237"/>
      <c r="N414" s="237"/>
      <c r="O414" s="237"/>
      <c r="P414" s="237"/>
      <c r="Q414" s="237"/>
      <c r="AL414" s="226"/>
      <c r="AM414" s="226"/>
    </row>
    <row r="415" spans="1:39" x14ac:dyDescent="0.25">
      <c r="AA415" s="237"/>
      <c r="AB415" s="237"/>
      <c r="AC415" s="237"/>
      <c r="AD415" s="237"/>
      <c r="AE415" s="237"/>
      <c r="AF415" s="237"/>
      <c r="AG415" s="237"/>
      <c r="AH415" s="237"/>
      <c r="AJ415" s="238"/>
    </row>
    <row r="416" spans="1:39" ht="12.75" x14ac:dyDescent="0.2">
      <c r="AL416" s="226"/>
      <c r="AM416" s="226"/>
    </row>
    <row r="417" spans="1:39" ht="12.75" x14ac:dyDescent="0.2">
      <c r="A417" s="236"/>
      <c r="B417" s="236"/>
      <c r="C417" s="236"/>
      <c r="D417" s="236"/>
      <c r="E417" s="237"/>
      <c r="G417" s="237"/>
      <c r="H417" s="237"/>
      <c r="I417" s="237"/>
      <c r="K417" s="237"/>
      <c r="N417" s="237"/>
      <c r="O417" s="237"/>
      <c r="P417" s="237"/>
      <c r="Q417" s="237"/>
      <c r="AL417" s="226"/>
      <c r="AM417" s="226"/>
    </row>
    <row r="418" spans="1:39" x14ac:dyDescent="0.25">
      <c r="AA418" s="237"/>
      <c r="AB418" s="237"/>
      <c r="AC418" s="237"/>
      <c r="AD418" s="237"/>
      <c r="AE418" s="237"/>
      <c r="AF418" s="237"/>
      <c r="AG418" s="237"/>
      <c r="AH418" s="237"/>
      <c r="AJ418" s="238"/>
    </row>
    <row r="419" spans="1:39" ht="12.75" x14ac:dyDescent="0.2">
      <c r="AL419" s="226"/>
      <c r="AM419" s="226"/>
    </row>
    <row r="420" spans="1:39" ht="12.75" x14ac:dyDescent="0.2">
      <c r="A420" s="236"/>
      <c r="B420" s="236"/>
      <c r="C420" s="236"/>
      <c r="D420" s="236"/>
      <c r="E420" s="237"/>
      <c r="G420" s="237"/>
      <c r="H420" s="237"/>
      <c r="I420" s="237"/>
      <c r="K420" s="237"/>
      <c r="N420" s="237"/>
      <c r="O420" s="237"/>
      <c r="P420" s="237"/>
      <c r="Q420" s="237"/>
      <c r="AL420" s="226"/>
      <c r="AM420" s="226"/>
    </row>
    <row r="421" spans="1:39" x14ac:dyDescent="0.25">
      <c r="AA421" s="237"/>
      <c r="AB421" s="237"/>
      <c r="AC421" s="237"/>
      <c r="AD421" s="237"/>
      <c r="AE421" s="237"/>
      <c r="AF421" s="237"/>
      <c r="AG421" s="237"/>
      <c r="AH421" s="237"/>
      <c r="AJ421" s="238"/>
    </row>
    <row r="422" spans="1:39" x14ac:dyDescent="0.25">
      <c r="AA422" s="237"/>
      <c r="AB422" s="237"/>
      <c r="AC422" s="237"/>
      <c r="AD422" s="237"/>
      <c r="AE422" s="237"/>
      <c r="AF422" s="237"/>
      <c r="AG422" s="237"/>
      <c r="AH422" s="237"/>
      <c r="AJ422" s="238"/>
    </row>
    <row r="423" spans="1:39" ht="12.75" x14ac:dyDescent="0.2">
      <c r="AL423" s="226"/>
      <c r="AM423" s="226"/>
    </row>
    <row r="424" spans="1:39" ht="12.75" x14ac:dyDescent="0.2">
      <c r="A424" s="236"/>
      <c r="B424" s="236"/>
      <c r="C424" s="236"/>
      <c r="D424" s="236"/>
      <c r="E424" s="237"/>
      <c r="G424" s="237"/>
      <c r="H424" s="237"/>
      <c r="I424" s="237"/>
      <c r="K424" s="237"/>
      <c r="N424" s="237"/>
      <c r="O424" s="237"/>
      <c r="P424" s="237"/>
      <c r="Q424" s="237"/>
      <c r="AL424" s="226"/>
      <c r="AM424" s="226"/>
    </row>
    <row r="425" spans="1:39" x14ac:dyDescent="0.25">
      <c r="AA425" s="237"/>
      <c r="AB425" s="237"/>
      <c r="AC425" s="237"/>
      <c r="AD425" s="237"/>
      <c r="AE425" s="237"/>
      <c r="AF425" s="237"/>
      <c r="AG425" s="237"/>
      <c r="AH425" s="237"/>
      <c r="AJ425" s="238"/>
    </row>
    <row r="426" spans="1:39" ht="12.75" x14ac:dyDescent="0.2">
      <c r="AL426" s="226"/>
      <c r="AM426" s="226"/>
    </row>
    <row r="427" spans="1:39" ht="12.75" x14ac:dyDescent="0.2">
      <c r="A427" s="236"/>
      <c r="B427" s="236"/>
      <c r="C427" s="236"/>
      <c r="D427" s="236"/>
      <c r="E427" s="237"/>
      <c r="G427" s="237"/>
      <c r="H427" s="237"/>
      <c r="I427" s="237"/>
      <c r="K427" s="237"/>
      <c r="N427" s="237"/>
      <c r="O427" s="237"/>
      <c r="P427" s="237"/>
      <c r="Q427" s="237"/>
      <c r="AL427" s="226"/>
      <c r="AM427" s="226"/>
    </row>
    <row r="428" spans="1:39" x14ac:dyDescent="0.25">
      <c r="AA428" s="237"/>
      <c r="AB428" s="237"/>
      <c r="AC428" s="237"/>
      <c r="AD428" s="237"/>
      <c r="AE428" s="237"/>
      <c r="AF428" s="237"/>
      <c r="AG428" s="237"/>
      <c r="AH428" s="237"/>
      <c r="AJ428" s="238"/>
    </row>
    <row r="429" spans="1:39" x14ac:dyDescent="0.25">
      <c r="AA429" s="237"/>
      <c r="AB429" s="237"/>
      <c r="AC429" s="237"/>
      <c r="AD429" s="237"/>
      <c r="AE429" s="237"/>
      <c r="AF429" s="237"/>
      <c r="AG429" s="237"/>
      <c r="AH429" s="237"/>
      <c r="AJ429" s="238"/>
    </row>
    <row r="430" spans="1:39" ht="12.75" x14ac:dyDescent="0.2">
      <c r="AL430" s="226"/>
      <c r="AM430" s="226"/>
    </row>
    <row r="431" spans="1:39" ht="12.75" x14ac:dyDescent="0.2">
      <c r="A431" s="236"/>
      <c r="B431" s="236"/>
      <c r="C431" s="236"/>
      <c r="D431" s="236"/>
      <c r="E431" s="237"/>
      <c r="G431" s="237"/>
      <c r="H431" s="237"/>
      <c r="I431" s="237"/>
      <c r="K431" s="237"/>
      <c r="N431" s="237"/>
      <c r="O431" s="237"/>
      <c r="P431" s="237"/>
      <c r="Q431" s="237"/>
      <c r="AL431" s="226"/>
      <c r="AM431" s="226"/>
    </row>
    <row r="432" spans="1:39" x14ac:dyDescent="0.25">
      <c r="AA432" s="237"/>
      <c r="AB432" s="237"/>
      <c r="AC432" s="237"/>
      <c r="AD432" s="237"/>
      <c r="AE432" s="237"/>
      <c r="AF432" s="237"/>
      <c r="AG432" s="237"/>
      <c r="AH432" s="237"/>
      <c r="AJ432" s="238"/>
    </row>
    <row r="433" spans="1:39" ht="12.75" x14ac:dyDescent="0.2">
      <c r="AL433" s="226"/>
      <c r="AM433" s="226"/>
    </row>
    <row r="434" spans="1:39" ht="12.75" x14ac:dyDescent="0.2">
      <c r="A434" s="236"/>
      <c r="B434" s="236"/>
      <c r="C434" s="236"/>
      <c r="D434" s="236"/>
      <c r="E434" s="237"/>
      <c r="G434" s="237"/>
      <c r="H434" s="237"/>
      <c r="I434" s="237"/>
      <c r="K434" s="237"/>
      <c r="N434" s="237"/>
      <c r="O434" s="237"/>
      <c r="P434" s="237"/>
      <c r="Q434" s="237"/>
      <c r="AL434" s="226"/>
      <c r="AM434" s="226"/>
    </row>
    <row r="435" spans="1:39" x14ac:dyDescent="0.25">
      <c r="AA435" s="237"/>
      <c r="AB435" s="237"/>
      <c r="AC435" s="237"/>
      <c r="AD435" s="237"/>
      <c r="AE435" s="237"/>
      <c r="AF435" s="237"/>
      <c r="AG435" s="237"/>
      <c r="AH435" s="237"/>
      <c r="AJ435" s="238"/>
    </row>
    <row r="436" spans="1:39" ht="12.75" x14ac:dyDescent="0.2">
      <c r="AL436" s="226"/>
      <c r="AM436" s="226"/>
    </row>
    <row r="437" spans="1:39" ht="12.75" x14ac:dyDescent="0.2">
      <c r="A437" s="236"/>
      <c r="B437" s="236"/>
      <c r="C437" s="236"/>
      <c r="D437" s="236"/>
      <c r="E437" s="237"/>
      <c r="G437" s="237"/>
      <c r="H437" s="237"/>
      <c r="I437" s="237"/>
      <c r="K437" s="237"/>
      <c r="N437" s="237"/>
      <c r="O437" s="237"/>
      <c r="P437" s="237"/>
      <c r="Q437" s="237"/>
      <c r="AL437" s="226"/>
      <c r="AM437" s="226"/>
    </row>
    <row r="438" spans="1:39" x14ac:dyDescent="0.25">
      <c r="AA438" s="237"/>
      <c r="AB438" s="237"/>
      <c r="AC438" s="237"/>
      <c r="AD438" s="237"/>
      <c r="AE438" s="237"/>
      <c r="AF438" s="237"/>
      <c r="AG438" s="237"/>
      <c r="AH438" s="237"/>
      <c r="AJ438" s="238"/>
    </row>
    <row r="439" spans="1:39" ht="12.75" x14ac:dyDescent="0.2">
      <c r="AL439" s="226"/>
      <c r="AM439" s="226"/>
    </row>
    <row r="440" spans="1:39" ht="12.75" x14ac:dyDescent="0.2">
      <c r="A440" s="236"/>
      <c r="B440" s="236"/>
      <c r="C440" s="236"/>
      <c r="D440" s="236"/>
      <c r="E440" s="237"/>
      <c r="G440" s="237"/>
      <c r="H440" s="237"/>
      <c r="I440" s="237"/>
      <c r="K440" s="237"/>
      <c r="N440" s="237"/>
      <c r="O440" s="237"/>
      <c r="P440" s="237"/>
      <c r="Q440" s="237"/>
      <c r="AL440" s="226"/>
      <c r="AM440" s="226"/>
    </row>
    <row r="441" spans="1:39" x14ac:dyDescent="0.25">
      <c r="AA441" s="237"/>
      <c r="AB441" s="237"/>
      <c r="AC441" s="237"/>
      <c r="AD441" s="237"/>
      <c r="AE441" s="237"/>
      <c r="AF441" s="237"/>
      <c r="AG441" s="237"/>
      <c r="AH441" s="237"/>
      <c r="AJ441" s="238"/>
    </row>
    <row r="442" spans="1:39" x14ac:dyDescent="0.25">
      <c r="AA442" s="237"/>
      <c r="AB442" s="237"/>
      <c r="AC442" s="237"/>
      <c r="AD442" s="237"/>
      <c r="AE442" s="237"/>
      <c r="AF442" s="237"/>
      <c r="AG442" s="237"/>
      <c r="AH442" s="237"/>
      <c r="AJ442" s="238"/>
    </row>
    <row r="443" spans="1:39" x14ac:dyDescent="0.25">
      <c r="AA443" s="237"/>
      <c r="AB443" s="237"/>
      <c r="AC443" s="237"/>
      <c r="AD443" s="237"/>
      <c r="AE443" s="237"/>
      <c r="AF443" s="237"/>
      <c r="AG443" s="237"/>
      <c r="AH443" s="237"/>
      <c r="AJ443" s="238"/>
    </row>
    <row r="444" spans="1:39" ht="12.75" x14ac:dyDescent="0.2">
      <c r="AL444" s="226"/>
      <c r="AM444" s="226"/>
    </row>
    <row r="445" spans="1:39" ht="12.75" x14ac:dyDescent="0.2">
      <c r="A445" s="236"/>
      <c r="B445" s="236"/>
      <c r="C445" s="236"/>
      <c r="D445" s="236"/>
      <c r="E445" s="237"/>
      <c r="G445" s="237"/>
      <c r="H445" s="237"/>
      <c r="I445" s="237"/>
      <c r="K445" s="237"/>
      <c r="N445" s="237"/>
      <c r="O445" s="237"/>
      <c r="P445" s="237"/>
      <c r="Q445" s="237"/>
      <c r="AL445" s="226"/>
      <c r="AM445" s="226"/>
    </row>
    <row r="446" spans="1:39" x14ac:dyDescent="0.25">
      <c r="AA446" s="237"/>
      <c r="AB446" s="237"/>
      <c r="AC446" s="237"/>
      <c r="AD446" s="237"/>
      <c r="AE446" s="237"/>
      <c r="AF446" s="237"/>
      <c r="AG446" s="237"/>
      <c r="AH446" s="237"/>
      <c r="AJ446" s="238"/>
    </row>
    <row r="447" spans="1:39" x14ac:dyDescent="0.25">
      <c r="AA447" s="237"/>
      <c r="AB447" s="237"/>
      <c r="AC447" s="237"/>
      <c r="AD447" s="237"/>
      <c r="AE447" s="237"/>
      <c r="AF447" s="237"/>
      <c r="AG447" s="237"/>
      <c r="AH447" s="237"/>
      <c r="AJ447" s="238"/>
    </row>
    <row r="448" spans="1:39" x14ac:dyDescent="0.25">
      <c r="AA448" s="237"/>
      <c r="AB448" s="237"/>
      <c r="AC448" s="237"/>
      <c r="AD448" s="237"/>
      <c r="AE448" s="237"/>
      <c r="AF448" s="237"/>
      <c r="AG448" s="237"/>
      <c r="AH448" s="237"/>
      <c r="AJ448" s="238"/>
    </row>
    <row r="449" spans="1:39" x14ac:dyDescent="0.25">
      <c r="AA449" s="237"/>
      <c r="AB449" s="237"/>
      <c r="AC449" s="237"/>
      <c r="AD449" s="237"/>
      <c r="AE449" s="237"/>
      <c r="AF449" s="237"/>
      <c r="AG449" s="237"/>
      <c r="AH449" s="237"/>
      <c r="AJ449" s="238"/>
    </row>
    <row r="450" spans="1:39" x14ac:dyDescent="0.25">
      <c r="AA450" s="237"/>
      <c r="AB450" s="237"/>
      <c r="AC450" s="237"/>
      <c r="AD450" s="237"/>
      <c r="AE450" s="237"/>
      <c r="AF450" s="237"/>
      <c r="AG450" s="237"/>
      <c r="AH450" s="237"/>
      <c r="AJ450" s="238"/>
    </row>
    <row r="451" spans="1:39" x14ac:dyDescent="0.25">
      <c r="AA451" s="237"/>
      <c r="AB451" s="237"/>
      <c r="AC451" s="237"/>
      <c r="AD451" s="237"/>
      <c r="AE451" s="237"/>
      <c r="AF451" s="237"/>
      <c r="AG451" s="237"/>
      <c r="AH451" s="237"/>
      <c r="AJ451" s="238"/>
    </row>
    <row r="452" spans="1:39" ht="12.75" x14ac:dyDescent="0.2">
      <c r="AL452" s="226"/>
      <c r="AM452" s="226"/>
    </row>
    <row r="453" spans="1:39" ht="12.75" x14ac:dyDescent="0.2">
      <c r="A453" s="236"/>
      <c r="B453" s="236"/>
      <c r="C453" s="236"/>
      <c r="D453" s="236"/>
      <c r="E453" s="237"/>
      <c r="G453" s="237"/>
      <c r="H453" s="237"/>
      <c r="I453" s="237"/>
      <c r="K453" s="237"/>
      <c r="N453" s="237"/>
      <c r="O453" s="237"/>
      <c r="P453" s="237"/>
      <c r="Q453" s="237"/>
      <c r="AL453" s="226"/>
      <c r="AM453" s="226"/>
    </row>
    <row r="454" spans="1:39" x14ac:dyDescent="0.25">
      <c r="AA454" s="237"/>
      <c r="AB454" s="237"/>
      <c r="AC454" s="237"/>
      <c r="AD454" s="237"/>
      <c r="AE454" s="237"/>
      <c r="AF454" s="237"/>
      <c r="AG454" s="237"/>
      <c r="AH454" s="237"/>
      <c r="AJ454" s="238"/>
    </row>
    <row r="455" spans="1:39" ht="12.75" x14ac:dyDescent="0.2">
      <c r="AL455" s="226"/>
      <c r="AM455" s="226"/>
    </row>
    <row r="456" spans="1:39" ht="12.75" x14ac:dyDescent="0.2">
      <c r="A456" s="236"/>
      <c r="B456" s="236"/>
      <c r="C456" s="236"/>
      <c r="D456" s="236"/>
      <c r="E456" s="237"/>
      <c r="G456" s="237"/>
      <c r="H456" s="237"/>
      <c r="I456" s="237"/>
      <c r="K456" s="237"/>
      <c r="N456" s="237"/>
      <c r="O456" s="237"/>
      <c r="P456" s="237"/>
      <c r="Q456" s="237"/>
      <c r="AL456" s="226"/>
      <c r="AM456" s="226"/>
    </row>
    <row r="457" spans="1:39" x14ac:dyDescent="0.25">
      <c r="AA457" s="237"/>
      <c r="AB457" s="237"/>
      <c r="AC457" s="237"/>
      <c r="AD457" s="237"/>
      <c r="AE457" s="237"/>
      <c r="AF457" s="237"/>
      <c r="AG457" s="237"/>
      <c r="AH457" s="237"/>
      <c r="AJ457" s="238"/>
    </row>
    <row r="458" spans="1:39" x14ac:dyDescent="0.25">
      <c r="AA458" s="237"/>
      <c r="AB458" s="237"/>
      <c r="AC458" s="237"/>
      <c r="AD458" s="237"/>
      <c r="AE458" s="237"/>
      <c r="AF458" s="237"/>
      <c r="AG458" s="237"/>
      <c r="AH458" s="237"/>
      <c r="AJ458" s="238"/>
    </row>
    <row r="459" spans="1:39" x14ac:dyDescent="0.25">
      <c r="AA459" s="237"/>
      <c r="AB459" s="237"/>
      <c r="AC459" s="237"/>
      <c r="AD459" s="237"/>
      <c r="AE459" s="237"/>
      <c r="AF459" s="237"/>
      <c r="AG459" s="237"/>
      <c r="AH459" s="237"/>
      <c r="AJ459" s="238"/>
    </row>
    <row r="460" spans="1:39" ht="12.75" x14ac:dyDescent="0.2">
      <c r="AL460" s="226"/>
      <c r="AM460" s="226"/>
    </row>
    <row r="461" spans="1:39" ht="12.75" x14ac:dyDescent="0.2">
      <c r="A461" s="236"/>
      <c r="B461" s="236"/>
      <c r="C461" s="236"/>
      <c r="D461" s="236"/>
      <c r="E461" s="237"/>
      <c r="G461" s="237"/>
      <c r="H461" s="237"/>
      <c r="I461" s="237"/>
      <c r="K461" s="237"/>
      <c r="N461" s="237"/>
      <c r="O461" s="237"/>
      <c r="P461" s="237"/>
      <c r="Q461" s="237"/>
      <c r="AL461" s="226"/>
      <c r="AM461" s="226"/>
    </row>
    <row r="462" spans="1:39" x14ac:dyDescent="0.25">
      <c r="AA462" s="237"/>
      <c r="AB462" s="237"/>
      <c r="AC462" s="237"/>
      <c r="AD462" s="237"/>
      <c r="AE462" s="237"/>
      <c r="AF462" s="237"/>
      <c r="AG462" s="237"/>
      <c r="AH462" s="237"/>
      <c r="AJ462" s="238"/>
    </row>
    <row r="463" spans="1:39" x14ac:dyDescent="0.25">
      <c r="AA463" s="237"/>
      <c r="AB463" s="237"/>
      <c r="AC463" s="237"/>
      <c r="AD463" s="237"/>
      <c r="AE463" s="237"/>
      <c r="AF463" s="237"/>
      <c r="AG463" s="237"/>
      <c r="AH463" s="237"/>
      <c r="AJ463" s="238"/>
    </row>
    <row r="464" spans="1:39" x14ac:dyDescent="0.25">
      <c r="AA464" s="237"/>
      <c r="AB464" s="237"/>
      <c r="AC464" s="237"/>
      <c r="AD464" s="237"/>
      <c r="AE464" s="237"/>
      <c r="AF464" s="237"/>
      <c r="AG464" s="237"/>
      <c r="AH464" s="237"/>
      <c r="AJ464" s="238"/>
    </row>
    <row r="465" spans="1:39" x14ac:dyDescent="0.25">
      <c r="AA465" s="237"/>
      <c r="AB465" s="237"/>
      <c r="AC465" s="237"/>
      <c r="AD465" s="237"/>
      <c r="AE465" s="237"/>
      <c r="AF465" s="237"/>
      <c r="AG465" s="237"/>
      <c r="AH465" s="237"/>
      <c r="AJ465" s="238"/>
    </row>
    <row r="466" spans="1:39" x14ac:dyDescent="0.25">
      <c r="AA466" s="237"/>
      <c r="AB466" s="237"/>
      <c r="AC466" s="237"/>
      <c r="AD466" s="237"/>
      <c r="AE466" s="237"/>
      <c r="AF466" s="237"/>
      <c r="AG466" s="237"/>
      <c r="AH466" s="237"/>
      <c r="AJ466" s="238"/>
    </row>
    <row r="467" spans="1:39" x14ac:dyDescent="0.25">
      <c r="AA467" s="237"/>
      <c r="AB467" s="237"/>
      <c r="AC467" s="237"/>
      <c r="AD467" s="237"/>
      <c r="AE467" s="237"/>
      <c r="AF467" s="237"/>
      <c r="AG467" s="237"/>
      <c r="AH467" s="237"/>
      <c r="AJ467" s="238"/>
    </row>
    <row r="468" spans="1:39" ht="12.75" x14ac:dyDescent="0.2">
      <c r="AL468" s="226"/>
      <c r="AM468" s="226"/>
    </row>
    <row r="469" spans="1:39" ht="12.75" x14ac:dyDescent="0.2">
      <c r="A469" s="236"/>
      <c r="B469" s="236"/>
      <c r="C469" s="236"/>
      <c r="D469" s="236"/>
      <c r="E469" s="237"/>
      <c r="G469" s="237"/>
      <c r="H469" s="237"/>
      <c r="I469" s="237"/>
      <c r="K469" s="237"/>
      <c r="N469" s="237"/>
      <c r="O469" s="237"/>
      <c r="P469" s="237"/>
      <c r="Q469" s="237"/>
      <c r="AL469" s="226"/>
      <c r="AM469" s="226"/>
    </row>
    <row r="470" spans="1:39" x14ac:dyDescent="0.25">
      <c r="AA470" s="237"/>
      <c r="AB470" s="237"/>
      <c r="AC470" s="237"/>
      <c r="AD470" s="237"/>
      <c r="AE470" s="237"/>
      <c r="AF470" s="237"/>
      <c r="AG470" s="237"/>
      <c r="AH470" s="237"/>
      <c r="AJ470" s="238"/>
    </row>
    <row r="471" spans="1:39" x14ac:dyDescent="0.25">
      <c r="AA471" s="237"/>
      <c r="AB471" s="237"/>
      <c r="AC471" s="237"/>
      <c r="AD471" s="237"/>
      <c r="AE471" s="237"/>
      <c r="AF471" s="237"/>
      <c r="AG471" s="237"/>
      <c r="AH471" s="237"/>
      <c r="AJ471" s="238"/>
    </row>
    <row r="472" spans="1:39" ht="12.75" x14ac:dyDescent="0.2">
      <c r="AL472" s="226"/>
      <c r="AM472" s="226"/>
    </row>
    <row r="473" spans="1:39" ht="12.75" x14ac:dyDescent="0.2">
      <c r="A473" s="236"/>
      <c r="B473" s="236"/>
      <c r="C473" s="236"/>
      <c r="D473" s="236"/>
      <c r="E473" s="237"/>
      <c r="G473" s="237"/>
      <c r="H473" s="237"/>
      <c r="I473" s="237"/>
      <c r="K473" s="237"/>
      <c r="N473" s="237"/>
      <c r="O473" s="237"/>
      <c r="P473" s="237"/>
      <c r="Q473" s="237"/>
      <c r="AL473" s="226"/>
      <c r="AM473" s="226"/>
    </row>
    <row r="474" spans="1:39" x14ac:dyDescent="0.25">
      <c r="AA474" s="237"/>
      <c r="AB474" s="237"/>
      <c r="AC474" s="237"/>
      <c r="AD474" s="237"/>
      <c r="AE474" s="237"/>
      <c r="AF474" s="237"/>
      <c r="AG474" s="237"/>
      <c r="AH474" s="237"/>
      <c r="AJ474" s="238"/>
    </row>
    <row r="475" spans="1:39" ht="12.75" x14ac:dyDescent="0.2">
      <c r="AL475" s="226"/>
      <c r="AM475" s="226"/>
    </row>
    <row r="476" spans="1:39" ht="12.75" x14ac:dyDescent="0.2">
      <c r="A476" s="236"/>
      <c r="B476" s="236"/>
      <c r="C476" s="236"/>
      <c r="D476" s="236"/>
      <c r="E476" s="237"/>
      <c r="G476" s="237"/>
      <c r="H476" s="237"/>
      <c r="I476" s="237"/>
      <c r="K476" s="237"/>
      <c r="N476" s="237"/>
      <c r="O476" s="237"/>
      <c r="P476" s="237"/>
      <c r="Q476" s="237"/>
      <c r="AL476" s="226"/>
      <c r="AM476" s="226"/>
    </row>
    <row r="477" spans="1:39" x14ac:dyDescent="0.25">
      <c r="AA477" s="237"/>
      <c r="AB477" s="237"/>
      <c r="AC477" s="237"/>
      <c r="AD477" s="237"/>
      <c r="AE477" s="237"/>
      <c r="AF477" s="237"/>
      <c r="AG477" s="237"/>
      <c r="AH477" s="237"/>
      <c r="AJ477" s="238"/>
    </row>
    <row r="478" spans="1:39" x14ac:dyDescent="0.25">
      <c r="AA478" s="237"/>
      <c r="AB478" s="237"/>
      <c r="AC478" s="237"/>
      <c r="AD478" s="237"/>
      <c r="AE478" s="237"/>
      <c r="AF478" s="237"/>
      <c r="AG478" s="237"/>
      <c r="AH478" s="237"/>
      <c r="AJ478" s="238"/>
    </row>
    <row r="479" spans="1:39" x14ac:dyDescent="0.25">
      <c r="AA479" s="237"/>
      <c r="AB479" s="237"/>
      <c r="AC479" s="237"/>
      <c r="AD479" s="237"/>
      <c r="AE479" s="237"/>
      <c r="AF479" s="237"/>
      <c r="AG479" s="237"/>
      <c r="AH479" s="237"/>
      <c r="AJ479" s="238"/>
    </row>
    <row r="480" spans="1:39" ht="12.75" x14ac:dyDescent="0.2">
      <c r="AL480" s="226"/>
      <c r="AM480" s="226"/>
    </row>
    <row r="481" spans="1:39" ht="12.75" x14ac:dyDescent="0.2">
      <c r="A481" s="236"/>
      <c r="B481" s="236"/>
      <c r="C481" s="236"/>
      <c r="D481" s="236"/>
      <c r="E481" s="237"/>
      <c r="G481" s="237"/>
      <c r="H481" s="237"/>
      <c r="I481" s="237"/>
      <c r="K481" s="237"/>
      <c r="N481" s="237"/>
      <c r="O481" s="237"/>
      <c r="P481" s="237"/>
      <c r="Q481" s="237"/>
      <c r="AL481" s="226"/>
      <c r="AM481" s="226"/>
    </row>
    <row r="482" spans="1:39" x14ac:dyDescent="0.25">
      <c r="AA482" s="237"/>
      <c r="AB482" s="237"/>
      <c r="AC482" s="237"/>
      <c r="AD482" s="237"/>
      <c r="AE482" s="237"/>
      <c r="AF482" s="237"/>
      <c r="AG482" s="237"/>
      <c r="AH482" s="237"/>
      <c r="AJ482" s="238"/>
    </row>
    <row r="483" spans="1:39" ht="12.75" x14ac:dyDescent="0.2">
      <c r="AL483" s="226"/>
      <c r="AM483" s="226"/>
    </row>
    <row r="484" spans="1:39" ht="12.75" x14ac:dyDescent="0.2">
      <c r="A484" s="236"/>
      <c r="B484" s="236"/>
      <c r="C484" s="236"/>
      <c r="D484" s="236"/>
      <c r="E484" s="237"/>
      <c r="G484" s="237"/>
      <c r="H484" s="237"/>
      <c r="I484" s="237"/>
      <c r="K484" s="237"/>
      <c r="N484" s="237"/>
      <c r="O484" s="237"/>
      <c r="P484" s="237"/>
      <c r="Q484" s="237"/>
      <c r="AL484" s="226"/>
      <c r="AM484" s="226"/>
    </row>
    <row r="485" spans="1:39" x14ac:dyDescent="0.25">
      <c r="AA485" s="237"/>
      <c r="AB485" s="237"/>
      <c r="AC485" s="237"/>
      <c r="AD485" s="237"/>
      <c r="AE485" s="237"/>
      <c r="AF485" s="237"/>
      <c r="AG485" s="237"/>
      <c r="AH485" s="237"/>
      <c r="AJ485" s="238"/>
    </row>
    <row r="486" spans="1:39" ht="12.75" x14ac:dyDescent="0.2">
      <c r="AL486" s="226"/>
      <c r="AM486" s="226"/>
    </row>
    <row r="487" spans="1:39" ht="12.75" x14ac:dyDescent="0.2">
      <c r="A487" s="236"/>
      <c r="B487" s="236"/>
      <c r="C487" s="236"/>
      <c r="D487" s="236"/>
      <c r="E487" s="237"/>
      <c r="G487" s="237"/>
      <c r="H487" s="237"/>
      <c r="I487" s="237"/>
      <c r="K487" s="237"/>
      <c r="N487" s="237"/>
      <c r="O487" s="237"/>
      <c r="P487" s="237"/>
      <c r="Q487" s="237"/>
      <c r="AL487" s="226"/>
      <c r="AM487" s="226"/>
    </row>
    <row r="488" spans="1:39" x14ac:dyDescent="0.25">
      <c r="AA488" s="237"/>
      <c r="AB488" s="237"/>
      <c r="AC488" s="237"/>
      <c r="AD488" s="237"/>
      <c r="AE488" s="237"/>
      <c r="AF488" s="237"/>
      <c r="AG488" s="237"/>
      <c r="AH488" s="237"/>
      <c r="AJ488" s="238"/>
    </row>
    <row r="489" spans="1:39" ht="12.75" x14ac:dyDescent="0.2">
      <c r="AL489" s="226"/>
      <c r="AM489" s="226"/>
    </row>
    <row r="490" spans="1:39" ht="12.75" x14ac:dyDescent="0.2">
      <c r="A490" s="236"/>
      <c r="B490" s="236"/>
      <c r="C490" s="236"/>
      <c r="D490" s="236"/>
      <c r="E490" s="237"/>
      <c r="G490" s="237"/>
      <c r="H490" s="237"/>
      <c r="I490" s="237"/>
      <c r="K490" s="237"/>
      <c r="N490" s="237"/>
      <c r="O490" s="237"/>
      <c r="P490" s="237"/>
      <c r="Q490" s="237"/>
      <c r="AL490" s="226"/>
      <c r="AM490" s="226"/>
    </row>
    <row r="491" spans="1:39" x14ac:dyDescent="0.25">
      <c r="AA491" s="237"/>
      <c r="AB491" s="237"/>
      <c r="AC491" s="237"/>
      <c r="AD491" s="237"/>
      <c r="AE491" s="237"/>
      <c r="AF491" s="237"/>
      <c r="AG491" s="237"/>
      <c r="AH491" s="237"/>
      <c r="AJ491" s="238"/>
    </row>
    <row r="492" spans="1:39" ht="12.75" x14ac:dyDescent="0.2">
      <c r="AL492" s="226"/>
      <c r="AM492" s="226"/>
    </row>
    <row r="493" spans="1:39" ht="12.75" x14ac:dyDescent="0.2">
      <c r="A493" s="236"/>
      <c r="B493" s="236"/>
      <c r="C493" s="236"/>
      <c r="D493" s="236"/>
      <c r="E493" s="237"/>
      <c r="G493" s="237"/>
      <c r="H493" s="237"/>
      <c r="I493" s="237"/>
      <c r="K493" s="237"/>
      <c r="N493" s="237"/>
      <c r="O493" s="237"/>
      <c r="P493" s="237"/>
      <c r="Q493" s="237"/>
      <c r="AL493" s="226"/>
      <c r="AM493" s="226"/>
    </row>
    <row r="494" spans="1:39" x14ac:dyDescent="0.25">
      <c r="AA494" s="237"/>
      <c r="AB494" s="237"/>
      <c r="AC494" s="237"/>
      <c r="AD494" s="237"/>
      <c r="AE494" s="237"/>
      <c r="AF494" s="237"/>
      <c r="AG494" s="237"/>
      <c r="AH494" s="237"/>
      <c r="AJ494" s="238"/>
    </row>
    <row r="495" spans="1:39" x14ac:dyDescent="0.25">
      <c r="AA495" s="237"/>
      <c r="AB495" s="237"/>
      <c r="AC495" s="237"/>
      <c r="AD495" s="237"/>
      <c r="AE495" s="237"/>
      <c r="AF495" s="237"/>
      <c r="AG495" s="237"/>
      <c r="AH495" s="237"/>
      <c r="AJ495" s="238"/>
    </row>
    <row r="496" spans="1:39" x14ac:dyDescent="0.25">
      <c r="AA496" s="237"/>
      <c r="AB496" s="237"/>
      <c r="AC496" s="237"/>
      <c r="AD496" s="237"/>
      <c r="AE496" s="237"/>
      <c r="AF496" s="237"/>
      <c r="AG496" s="237"/>
      <c r="AH496" s="237"/>
      <c r="AJ496" s="238"/>
    </row>
    <row r="497" spans="1:39" x14ac:dyDescent="0.25">
      <c r="AA497" s="237"/>
      <c r="AB497" s="237"/>
      <c r="AC497" s="237"/>
      <c r="AD497" s="237"/>
      <c r="AE497" s="237"/>
      <c r="AF497" s="237"/>
      <c r="AG497" s="237"/>
      <c r="AH497" s="237"/>
      <c r="AJ497" s="238"/>
    </row>
    <row r="498" spans="1:39" ht="12.75" x14ac:dyDescent="0.2">
      <c r="AL498" s="226"/>
      <c r="AM498" s="226"/>
    </row>
    <row r="499" spans="1:39" ht="12.75" x14ac:dyDescent="0.2">
      <c r="A499" s="236"/>
      <c r="B499" s="236"/>
      <c r="C499" s="236"/>
      <c r="D499" s="236"/>
      <c r="E499" s="237"/>
      <c r="G499" s="237"/>
      <c r="H499" s="237"/>
      <c r="I499" s="237"/>
      <c r="K499" s="237"/>
      <c r="N499" s="237"/>
      <c r="O499" s="237"/>
      <c r="P499" s="237"/>
      <c r="Q499" s="237"/>
      <c r="AL499" s="226"/>
      <c r="AM499" s="226"/>
    </row>
    <row r="500" spans="1:39" x14ac:dyDescent="0.25">
      <c r="AA500" s="237"/>
      <c r="AB500" s="237"/>
      <c r="AC500" s="237"/>
      <c r="AD500" s="237"/>
      <c r="AE500" s="237"/>
      <c r="AF500" s="237"/>
      <c r="AG500" s="237"/>
      <c r="AH500" s="237"/>
      <c r="AJ500" s="238"/>
    </row>
    <row r="501" spans="1:39" ht="12.75" x14ac:dyDescent="0.2">
      <c r="AL501" s="226"/>
      <c r="AM501" s="226"/>
    </row>
    <row r="502" spans="1:39" ht="12.75" x14ac:dyDescent="0.2">
      <c r="A502" s="236"/>
      <c r="B502" s="236"/>
      <c r="C502" s="236"/>
      <c r="D502" s="236"/>
      <c r="E502" s="237"/>
      <c r="G502" s="237"/>
      <c r="H502" s="237"/>
      <c r="I502" s="237"/>
      <c r="K502" s="237"/>
      <c r="N502" s="237"/>
      <c r="O502" s="237"/>
      <c r="P502" s="237"/>
      <c r="Q502" s="237"/>
      <c r="AL502" s="226"/>
      <c r="AM502" s="226"/>
    </row>
    <row r="503" spans="1:39" x14ac:dyDescent="0.25">
      <c r="AA503" s="237"/>
      <c r="AB503" s="237"/>
      <c r="AC503" s="237"/>
      <c r="AD503" s="237"/>
      <c r="AE503" s="237"/>
      <c r="AF503" s="237"/>
      <c r="AG503" s="237"/>
      <c r="AH503" s="237"/>
      <c r="AJ503" s="238"/>
    </row>
    <row r="504" spans="1:39" ht="12.75" x14ac:dyDescent="0.2">
      <c r="AL504" s="226"/>
      <c r="AM504" s="226"/>
    </row>
    <row r="505" spans="1:39" ht="12.75" x14ac:dyDescent="0.2">
      <c r="A505" s="236"/>
      <c r="B505" s="236"/>
      <c r="C505" s="236"/>
      <c r="D505" s="236"/>
      <c r="E505" s="237"/>
      <c r="G505" s="237"/>
      <c r="H505" s="237"/>
      <c r="I505" s="237"/>
      <c r="K505" s="237"/>
      <c r="N505" s="237"/>
      <c r="O505" s="237"/>
      <c r="P505" s="237"/>
      <c r="Q505" s="237"/>
      <c r="AL505" s="226"/>
      <c r="AM505" s="226"/>
    </row>
    <row r="506" spans="1:39" x14ac:dyDescent="0.25">
      <c r="AA506" s="237"/>
      <c r="AB506" s="237"/>
      <c r="AC506" s="237"/>
      <c r="AD506" s="237"/>
      <c r="AE506" s="237"/>
      <c r="AF506" s="237"/>
      <c r="AG506" s="237"/>
      <c r="AH506" s="237"/>
      <c r="AJ506" s="238"/>
    </row>
    <row r="507" spans="1:39" ht="12.75" x14ac:dyDescent="0.2">
      <c r="AL507" s="226"/>
      <c r="AM507" s="226"/>
    </row>
    <row r="508" spans="1:39" ht="12.75" x14ac:dyDescent="0.2">
      <c r="A508" s="236"/>
      <c r="B508" s="236"/>
      <c r="C508" s="236"/>
      <c r="D508" s="236"/>
      <c r="E508" s="237"/>
      <c r="G508" s="237"/>
      <c r="H508" s="237"/>
      <c r="I508" s="237"/>
      <c r="K508" s="237"/>
      <c r="N508" s="237"/>
      <c r="O508" s="237"/>
      <c r="P508" s="237"/>
      <c r="Q508" s="237"/>
      <c r="AL508" s="226"/>
      <c r="AM508" s="226"/>
    </row>
    <row r="509" spans="1:39" x14ac:dyDescent="0.25">
      <c r="AA509" s="237"/>
      <c r="AB509" s="237"/>
      <c r="AC509" s="237"/>
      <c r="AD509" s="237"/>
      <c r="AE509" s="237"/>
      <c r="AF509" s="237"/>
      <c r="AG509" s="237"/>
      <c r="AH509" s="237"/>
      <c r="AJ509" s="238"/>
    </row>
    <row r="510" spans="1:39" ht="12.75" x14ac:dyDescent="0.2">
      <c r="AL510" s="226"/>
      <c r="AM510" s="226"/>
    </row>
    <row r="511" spans="1:39" ht="12.75" x14ac:dyDescent="0.2">
      <c r="A511" s="236"/>
      <c r="B511" s="236"/>
      <c r="C511" s="236"/>
      <c r="D511" s="236"/>
      <c r="E511" s="237"/>
      <c r="G511" s="237"/>
      <c r="H511" s="237"/>
      <c r="I511" s="237"/>
      <c r="K511" s="237"/>
      <c r="N511" s="237"/>
      <c r="O511" s="237"/>
      <c r="P511" s="237"/>
      <c r="Q511" s="237"/>
      <c r="AL511" s="226"/>
      <c r="AM511" s="226"/>
    </row>
    <row r="512" spans="1:39" x14ac:dyDescent="0.25">
      <c r="AA512" s="237"/>
      <c r="AB512" s="237"/>
      <c r="AC512" s="237"/>
      <c r="AD512" s="237"/>
      <c r="AE512" s="237"/>
      <c r="AF512" s="237"/>
      <c r="AG512" s="237"/>
      <c r="AH512" s="237"/>
      <c r="AJ512" s="238"/>
    </row>
    <row r="513" spans="1:39" ht="12.75" x14ac:dyDescent="0.2">
      <c r="AL513" s="226"/>
      <c r="AM513" s="226"/>
    </row>
    <row r="514" spans="1:39" ht="12.75" x14ac:dyDescent="0.2">
      <c r="A514" s="236"/>
      <c r="B514" s="236"/>
      <c r="C514" s="236"/>
      <c r="D514" s="236"/>
      <c r="E514" s="237"/>
      <c r="G514" s="237"/>
      <c r="H514" s="237"/>
      <c r="I514" s="237"/>
      <c r="K514" s="237"/>
      <c r="N514" s="237"/>
      <c r="O514" s="237"/>
      <c r="P514" s="237"/>
      <c r="Q514" s="237"/>
      <c r="AL514" s="226"/>
      <c r="AM514" s="226"/>
    </row>
    <row r="515" spans="1:39" x14ac:dyDescent="0.25">
      <c r="AA515" s="237"/>
      <c r="AB515" s="237"/>
      <c r="AC515" s="237"/>
      <c r="AD515" s="237"/>
      <c r="AE515" s="237"/>
      <c r="AF515" s="237"/>
      <c r="AG515" s="237"/>
      <c r="AH515" s="237"/>
      <c r="AJ515" s="238"/>
    </row>
    <row r="516" spans="1:39" ht="12.75" x14ac:dyDescent="0.2">
      <c r="AL516" s="226"/>
      <c r="AM516" s="226"/>
    </row>
    <row r="517" spans="1:39" ht="12.75" x14ac:dyDescent="0.2">
      <c r="A517" s="236"/>
      <c r="B517" s="236"/>
      <c r="C517" s="236"/>
      <c r="D517" s="236"/>
      <c r="E517" s="237"/>
      <c r="G517" s="237"/>
      <c r="H517" s="237"/>
      <c r="I517" s="237"/>
      <c r="K517" s="237"/>
      <c r="N517" s="237"/>
      <c r="O517" s="237"/>
      <c r="P517" s="237"/>
      <c r="Q517" s="237"/>
      <c r="AL517" s="226"/>
      <c r="AM517" s="226"/>
    </row>
    <row r="518" spans="1:39" x14ac:dyDescent="0.25">
      <c r="AA518" s="237"/>
      <c r="AB518" s="237"/>
      <c r="AC518" s="237"/>
      <c r="AD518" s="237"/>
      <c r="AE518" s="237"/>
      <c r="AF518" s="237"/>
      <c r="AG518" s="237"/>
      <c r="AH518" s="237"/>
      <c r="AJ518" s="238"/>
    </row>
    <row r="519" spans="1:39" ht="12.75" x14ac:dyDescent="0.2">
      <c r="AL519" s="226"/>
      <c r="AM519" s="226"/>
    </row>
    <row r="520" spans="1:39" ht="12.75" x14ac:dyDescent="0.2">
      <c r="A520" s="236"/>
      <c r="B520" s="236"/>
      <c r="C520" s="236"/>
      <c r="D520" s="236"/>
      <c r="E520" s="237"/>
      <c r="G520" s="237"/>
      <c r="H520" s="237"/>
      <c r="I520" s="237"/>
      <c r="K520" s="237"/>
      <c r="N520" s="237"/>
      <c r="O520" s="237"/>
      <c r="P520" s="237"/>
      <c r="Q520" s="237"/>
      <c r="AL520" s="226"/>
      <c r="AM520" s="226"/>
    </row>
    <row r="521" spans="1:39" x14ac:dyDescent="0.25">
      <c r="AA521" s="237"/>
      <c r="AB521" s="237"/>
      <c r="AC521" s="237"/>
      <c r="AD521" s="237"/>
      <c r="AE521" s="237"/>
      <c r="AF521" s="237"/>
      <c r="AG521" s="237"/>
      <c r="AH521" s="237"/>
      <c r="AJ521" s="238"/>
    </row>
    <row r="522" spans="1:39" ht="12.75" x14ac:dyDescent="0.2">
      <c r="AL522" s="226"/>
      <c r="AM522" s="226"/>
    </row>
    <row r="523" spans="1:39" ht="12.75" x14ac:dyDescent="0.2">
      <c r="A523" s="236"/>
      <c r="B523" s="236"/>
      <c r="C523" s="236"/>
      <c r="D523" s="236"/>
      <c r="E523" s="237"/>
      <c r="G523" s="237"/>
      <c r="H523" s="237"/>
      <c r="I523" s="237"/>
      <c r="K523" s="237"/>
      <c r="N523" s="237"/>
      <c r="O523" s="237"/>
      <c r="P523" s="237"/>
      <c r="Q523" s="237"/>
      <c r="AL523" s="226"/>
      <c r="AM523" s="226"/>
    </row>
    <row r="524" spans="1:39" x14ac:dyDescent="0.25">
      <c r="AA524" s="237"/>
      <c r="AB524" s="237"/>
      <c r="AC524" s="237"/>
      <c r="AD524" s="237"/>
      <c r="AE524" s="237"/>
      <c r="AF524" s="237"/>
      <c r="AG524" s="237"/>
      <c r="AH524" s="237"/>
      <c r="AJ524" s="238"/>
    </row>
    <row r="525" spans="1:39" x14ac:dyDescent="0.25">
      <c r="AA525" s="237"/>
      <c r="AB525" s="237"/>
      <c r="AC525" s="237"/>
      <c r="AD525" s="237"/>
      <c r="AE525" s="237"/>
      <c r="AF525" s="237"/>
      <c r="AG525" s="237"/>
      <c r="AH525" s="237"/>
      <c r="AJ525" s="238"/>
    </row>
    <row r="526" spans="1:39" x14ac:dyDescent="0.25">
      <c r="AA526" s="237"/>
      <c r="AB526" s="237"/>
      <c r="AC526" s="237"/>
      <c r="AD526" s="237"/>
      <c r="AE526" s="237"/>
      <c r="AF526" s="237"/>
      <c r="AG526" s="237"/>
      <c r="AH526" s="237"/>
      <c r="AJ526" s="238"/>
    </row>
    <row r="527" spans="1:39" x14ac:dyDescent="0.25">
      <c r="AA527" s="237"/>
      <c r="AB527" s="237"/>
      <c r="AC527" s="237"/>
      <c r="AD527" s="237"/>
      <c r="AE527" s="237"/>
      <c r="AF527" s="237"/>
      <c r="AG527" s="237"/>
      <c r="AH527" s="237"/>
      <c r="AJ527" s="238"/>
    </row>
    <row r="528" spans="1:39" x14ac:dyDescent="0.25">
      <c r="AA528" s="237"/>
      <c r="AB528" s="237"/>
      <c r="AC528" s="237"/>
      <c r="AD528" s="237"/>
      <c r="AE528" s="237"/>
      <c r="AF528" s="237"/>
      <c r="AG528" s="237"/>
      <c r="AH528" s="237"/>
      <c r="AJ528" s="238"/>
    </row>
    <row r="529" spans="1:39" ht="12.75" x14ac:dyDescent="0.2">
      <c r="AL529" s="226"/>
      <c r="AM529" s="226"/>
    </row>
    <row r="530" spans="1:39" ht="12.75" x14ac:dyDescent="0.2">
      <c r="A530" s="236"/>
      <c r="B530" s="236"/>
      <c r="C530" s="236"/>
      <c r="D530" s="236"/>
      <c r="E530" s="237"/>
      <c r="G530" s="237"/>
      <c r="H530" s="237"/>
      <c r="I530" s="237"/>
      <c r="K530" s="237"/>
      <c r="N530" s="237"/>
      <c r="O530" s="237"/>
      <c r="P530" s="237"/>
      <c r="Q530" s="237"/>
      <c r="AL530" s="226"/>
      <c r="AM530" s="226"/>
    </row>
    <row r="531" spans="1:39" x14ac:dyDescent="0.25">
      <c r="AA531" s="237"/>
      <c r="AB531" s="237"/>
      <c r="AC531" s="237"/>
      <c r="AD531" s="237"/>
      <c r="AE531" s="237"/>
      <c r="AF531" s="237"/>
      <c r="AG531" s="237"/>
      <c r="AH531" s="237"/>
      <c r="AJ531" s="238"/>
    </row>
    <row r="532" spans="1:39" ht="12.75" x14ac:dyDescent="0.2">
      <c r="AL532" s="226"/>
      <c r="AM532" s="226"/>
    </row>
    <row r="533" spans="1:39" ht="12.75" x14ac:dyDescent="0.2">
      <c r="A533" s="236"/>
      <c r="B533" s="236"/>
      <c r="C533" s="236"/>
      <c r="D533" s="236"/>
      <c r="E533" s="237"/>
      <c r="G533" s="237"/>
      <c r="H533" s="237"/>
      <c r="I533" s="237"/>
      <c r="K533" s="237"/>
      <c r="N533" s="237"/>
      <c r="O533" s="237"/>
      <c r="P533" s="237"/>
      <c r="Q533" s="237"/>
      <c r="AL533" s="226"/>
      <c r="AM533" s="226"/>
    </row>
    <row r="534" spans="1:39" x14ac:dyDescent="0.25">
      <c r="AA534" s="237"/>
      <c r="AB534" s="237"/>
      <c r="AC534" s="237"/>
      <c r="AD534" s="237"/>
      <c r="AE534" s="237"/>
      <c r="AF534" s="237"/>
      <c r="AG534" s="237"/>
      <c r="AH534" s="237"/>
      <c r="AJ534" s="238"/>
    </row>
    <row r="535" spans="1:39" ht="12.75" x14ac:dyDescent="0.2">
      <c r="AL535" s="226"/>
      <c r="AM535" s="226"/>
    </row>
    <row r="536" spans="1:39" ht="12.75" x14ac:dyDescent="0.2">
      <c r="A536" s="236"/>
      <c r="B536" s="236"/>
      <c r="C536" s="236"/>
      <c r="D536" s="236"/>
      <c r="E536" s="237"/>
      <c r="G536" s="237"/>
      <c r="H536" s="237"/>
      <c r="I536" s="237"/>
      <c r="K536" s="237"/>
      <c r="N536" s="237"/>
      <c r="O536" s="237"/>
      <c r="P536" s="237"/>
      <c r="Q536" s="237"/>
      <c r="AL536" s="226"/>
      <c r="AM536" s="226"/>
    </row>
    <row r="537" spans="1:39" x14ac:dyDescent="0.25">
      <c r="AA537" s="237"/>
      <c r="AB537" s="237"/>
      <c r="AC537" s="237"/>
      <c r="AD537" s="237"/>
      <c r="AE537" s="237"/>
      <c r="AF537" s="237"/>
      <c r="AG537" s="237"/>
      <c r="AH537" s="237"/>
      <c r="AJ537" s="238"/>
    </row>
    <row r="538" spans="1:39" ht="12.75" x14ac:dyDescent="0.2">
      <c r="AL538" s="226"/>
      <c r="AM538" s="226"/>
    </row>
    <row r="539" spans="1:39" ht="12.75" x14ac:dyDescent="0.2">
      <c r="A539" s="236"/>
      <c r="B539" s="236"/>
      <c r="C539" s="236"/>
      <c r="D539" s="236"/>
      <c r="E539" s="237"/>
      <c r="G539" s="237"/>
      <c r="H539" s="237"/>
      <c r="I539" s="237"/>
      <c r="K539" s="237"/>
      <c r="N539" s="237"/>
      <c r="O539" s="237"/>
      <c r="P539" s="237"/>
      <c r="Q539" s="237"/>
      <c r="AL539" s="226"/>
      <c r="AM539" s="226"/>
    </row>
    <row r="540" spans="1:39" x14ac:dyDescent="0.25">
      <c r="AA540" s="237"/>
      <c r="AB540" s="237"/>
      <c r="AC540" s="237"/>
      <c r="AD540" s="237"/>
      <c r="AE540" s="237"/>
      <c r="AF540" s="237"/>
      <c r="AG540" s="237"/>
      <c r="AH540" s="237"/>
      <c r="AJ540" s="238"/>
    </row>
    <row r="541" spans="1:39" ht="12.75" x14ac:dyDescent="0.2">
      <c r="AL541" s="226"/>
      <c r="AM541" s="226"/>
    </row>
    <row r="542" spans="1:39" ht="12.75" x14ac:dyDescent="0.2">
      <c r="A542" s="236"/>
      <c r="B542" s="236"/>
      <c r="C542" s="236"/>
      <c r="D542" s="236"/>
      <c r="E542" s="237"/>
      <c r="G542" s="237"/>
      <c r="H542" s="237"/>
      <c r="I542" s="237"/>
      <c r="K542" s="237"/>
      <c r="N542" s="237"/>
      <c r="O542" s="237"/>
      <c r="P542" s="237"/>
      <c r="Q542" s="237"/>
      <c r="AL542" s="226"/>
      <c r="AM542" s="226"/>
    </row>
    <row r="543" spans="1:39" x14ac:dyDescent="0.25">
      <c r="AA543" s="237"/>
      <c r="AB543" s="237"/>
      <c r="AC543" s="237"/>
      <c r="AD543" s="237"/>
      <c r="AE543" s="237"/>
      <c r="AF543" s="237"/>
      <c r="AG543" s="237"/>
      <c r="AH543" s="237"/>
      <c r="AJ543" s="238"/>
    </row>
    <row r="544" spans="1:39" ht="12.75" x14ac:dyDescent="0.2">
      <c r="AL544" s="226"/>
      <c r="AM544" s="226"/>
    </row>
    <row r="545" spans="1:39" ht="12.75" x14ac:dyDescent="0.2">
      <c r="A545" s="236"/>
      <c r="B545" s="236"/>
      <c r="C545" s="236"/>
      <c r="D545" s="236"/>
      <c r="E545" s="237"/>
      <c r="G545" s="237"/>
      <c r="H545" s="237"/>
      <c r="I545" s="237"/>
      <c r="K545" s="237"/>
      <c r="N545" s="237"/>
      <c r="O545" s="237"/>
      <c r="P545" s="237"/>
      <c r="Q545" s="237"/>
      <c r="AL545" s="226"/>
      <c r="AM545" s="226"/>
    </row>
    <row r="546" spans="1:39" x14ac:dyDescent="0.25">
      <c r="AA546" s="237"/>
      <c r="AB546" s="237"/>
      <c r="AC546" s="237"/>
      <c r="AD546" s="237"/>
      <c r="AE546" s="237"/>
      <c r="AF546" s="237"/>
      <c r="AG546" s="237"/>
      <c r="AH546" s="237"/>
      <c r="AJ546" s="238"/>
    </row>
    <row r="547" spans="1:39" ht="12.75" x14ac:dyDescent="0.2">
      <c r="AL547" s="226"/>
      <c r="AM547" s="226"/>
    </row>
    <row r="548" spans="1:39" ht="12.75" x14ac:dyDescent="0.2">
      <c r="A548" s="236"/>
      <c r="B548" s="236"/>
      <c r="C548" s="236"/>
      <c r="D548" s="236"/>
      <c r="E548" s="237"/>
      <c r="G548" s="237"/>
      <c r="H548" s="237"/>
      <c r="I548" s="237"/>
      <c r="K548" s="237"/>
      <c r="N548" s="237"/>
      <c r="O548" s="237"/>
      <c r="P548" s="237"/>
      <c r="Q548" s="237"/>
      <c r="AL548" s="226"/>
      <c r="AM548" s="226"/>
    </row>
    <row r="549" spans="1:39" x14ac:dyDescent="0.25">
      <c r="AA549" s="237"/>
      <c r="AB549" s="237"/>
      <c r="AC549" s="237"/>
      <c r="AD549" s="237"/>
      <c r="AE549" s="237"/>
      <c r="AF549" s="237"/>
      <c r="AG549" s="237"/>
      <c r="AH549" s="237"/>
      <c r="AJ549" s="238"/>
    </row>
    <row r="550" spans="1:39" x14ac:dyDescent="0.25">
      <c r="AA550" s="237"/>
      <c r="AB550" s="237"/>
      <c r="AC550" s="237"/>
      <c r="AD550" s="237"/>
      <c r="AE550" s="237"/>
      <c r="AF550" s="237"/>
      <c r="AG550" s="237"/>
      <c r="AH550" s="237"/>
      <c r="AJ550" s="238"/>
    </row>
    <row r="551" spans="1:39" ht="12.75" x14ac:dyDescent="0.2">
      <c r="AL551" s="226"/>
      <c r="AM551" s="226"/>
    </row>
    <row r="552" spans="1:39" ht="12.75" x14ac:dyDescent="0.2">
      <c r="A552" s="236"/>
      <c r="B552" s="236"/>
      <c r="C552" s="236"/>
      <c r="D552" s="236"/>
      <c r="E552" s="237"/>
      <c r="G552" s="237"/>
      <c r="H552" s="237"/>
      <c r="I552" s="237"/>
      <c r="K552" s="237"/>
      <c r="N552" s="237"/>
      <c r="O552" s="237"/>
      <c r="P552" s="237"/>
      <c r="Q552" s="237"/>
      <c r="AL552" s="226"/>
      <c r="AM552" s="226"/>
    </row>
    <row r="553" spans="1:39" x14ac:dyDescent="0.25">
      <c r="AA553" s="237"/>
      <c r="AB553" s="237"/>
      <c r="AC553" s="237"/>
      <c r="AD553" s="237"/>
      <c r="AE553" s="237"/>
      <c r="AF553" s="237"/>
      <c r="AG553" s="237"/>
      <c r="AH553" s="237"/>
      <c r="AJ553" s="238"/>
    </row>
    <row r="554" spans="1:39" x14ac:dyDescent="0.25">
      <c r="AA554" s="237"/>
      <c r="AB554" s="237"/>
      <c r="AC554" s="237"/>
      <c r="AD554" s="237"/>
      <c r="AE554" s="237"/>
      <c r="AF554" s="237"/>
      <c r="AG554" s="237"/>
      <c r="AH554" s="237"/>
      <c r="AJ554" s="238"/>
    </row>
    <row r="555" spans="1:39" ht="12.75" x14ac:dyDescent="0.2">
      <c r="AL555" s="226"/>
      <c r="AM555" s="226"/>
    </row>
    <row r="556" spans="1:39" ht="12.75" x14ac:dyDescent="0.2">
      <c r="A556" s="236"/>
      <c r="B556" s="236"/>
      <c r="C556" s="236"/>
      <c r="D556" s="236"/>
      <c r="E556" s="237"/>
      <c r="G556" s="237"/>
      <c r="H556" s="237"/>
      <c r="I556" s="237"/>
      <c r="K556" s="237"/>
      <c r="N556" s="237"/>
      <c r="O556" s="237"/>
      <c r="P556" s="237"/>
      <c r="Q556" s="237"/>
      <c r="AL556" s="226"/>
      <c r="AM556" s="226"/>
    </row>
    <row r="557" spans="1:39" x14ac:dyDescent="0.25">
      <c r="AA557" s="237"/>
      <c r="AB557" s="237"/>
      <c r="AC557" s="237"/>
      <c r="AD557" s="237"/>
      <c r="AE557" s="237"/>
      <c r="AF557" s="237"/>
      <c r="AG557" s="237"/>
      <c r="AH557" s="237"/>
      <c r="AJ557" s="238"/>
    </row>
    <row r="558" spans="1:39" ht="12.75" x14ac:dyDescent="0.2">
      <c r="AL558" s="226"/>
      <c r="AM558" s="226"/>
    </row>
    <row r="559" spans="1:39" ht="12.75" x14ac:dyDescent="0.2">
      <c r="A559" s="236"/>
      <c r="B559" s="236"/>
      <c r="C559" s="236"/>
      <c r="D559" s="236"/>
      <c r="E559" s="237"/>
      <c r="G559" s="237"/>
      <c r="H559" s="237"/>
      <c r="I559" s="237"/>
      <c r="K559" s="237"/>
      <c r="N559" s="237"/>
      <c r="O559" s="237"/>
      <c r="P559" s="237"/>
      <c r="Q559" s="237"/>
      <c r="AL559" s="226"/>
      <c r="AM559" s="226"/>
    </row>
    <row r="560" spans="1:39" x14ac:dyDescent="0.25">
      <c r="AA560" s="237"/>
      <c r="AB560" s="237"/>
      <c r="AC560" s="237"/>
      <c r="AD560" s="237"/>
      <c r="AE560" s="237"/>
      <c r="AF560" s="237"/>
      <c r="AG560" s="237"/>
      <c r="AH560" s="237"/>
      <c r="AJ560" s="238"/>
    </row>
    <row r="561" spans="1:39" x14ac:dyDescent="0.25">
      <c r="AA561" s="237"/>
      <c r="AB561" s="237"/>
      <c r="AC561" s="237"/>
      <c r="AD561" s="237"/>
      <c r="AE561" s="237"/>
      <c r="AF561" s="237"/>
      <c r="AG561" s="237"/>
      <c r="AH561" s="237"/>
      <c r="AJ561" s="238"/>
    </row>
    <row r="562" spans="1:39" ht="12.75" x14ac:dyDescent="0.2">
      <c r="AL562" s="226"/>
      <c r="AM562" s="226"/>
    </row>
    <row r="563" spans="1:39" ht="12.75" x14ac:dyDescent="0.2">
      <c r="A563" s="236"/>
      <c r="B563" s="236"/>
      <c r="C563" s="236"/>
      <c r="D563" s="236"/>
      <c r="E563" s="237"/>
      <c r="G563" s="237"/>
      <c r="H563" s="237"/>
      <c r="I563" s="237"/>
      <c r="K563" s="237"/>
      <c r="N563" s="237"/>
      <c r="O563" s="237"/>
      <c r="P563" s="237"/>
      <c r="Q563" s="237"/>
      <c r="AL563" s="226"/>
      <c r="AM563" s="226"/>
    </row>
    <row r="564" spans="1:39" x14ac:dyDescent="0.25">
      <c r="AA564" s="237"/>
      <c r="AB564" s="237"/>
      <c r="AC564" s="237"/>
      <c r="AD564" s="237"/>
      <c r="AE564" s="237"/>
      <c r="AF564" s="237"/>
      <c r="AG564" s="237"/>
      <c r="AH564" s="237"/>
      <c r="AJ564" s="238"/>
    </row>
    <row r="565" spans="1:39" ht="12.75" x14ac:dyDescent="0.2">
      <c r="AL565" s="226"/>
      <c r="AM565" s="226"/>
    </row>
    <row r="566" spans="1:39" ht="12.75" x14ac:dyDescent="0.2">
      <c r="A566" s="236"/>
      <c r="B566" s="236"/>
      <c r="C566" s="236"/>
      <c r="D566" s="236"/>
      <c r="E566" s="237"/>
      <c r="G566" s="237"/>
      <c r="H566" s="237"/>
      <c r="I566" s="237"/>
      <c r="K566" s="237"/>
      <c r="N566" s="237"/>
      <c r="O566" s="237"/>
      <c r="P566" s="237"/>
      <c r="Q566" s="237"/>
      <c r="AL566" s="226"/>
      <c r="AM566" s="226"/>
    </row>
    <row r="567" spans="1:39" x14ac:dyDescent="0.25">
      <c r="AA567" s="237"/>
      <c r="AB567" s="237"/>
      <c r="AC567" s="237"/>
      <c r="AD567" s="237"/>
      <c r="AE567" s="237"/>
      <c r="AF567" s="237"/>
      <c r="AG567" s="237"/>
      <c r="AH567" s="237"/>
      <c r="AJ567" s="238"/>
    </row>
    <row r="568" spans="1:39" ht="12.75" x14ac:dyDescent="0.2">
      <c r="AL568" s="226"/>
      <c r="AM568" s="226"/>
    </row>
    <row r="569" spans="1:39" ht="12.75" x14ac:dyDescent="0.2">
      <c r="A569" s="236"/>
      <c r="B569" s="236"/>
      <c r="C569" s="236"/>
      <c r="D569" s="236"/>
      <c r="E569" s="237"/>
      <c r="G569" s="237"/>
      <c r="H569" s="237"/>
      <c r="I569" s="237"/>
      <c r="K569" s="237"/>
      <c r="N569" s="237"/>
      <c r="O569" s="237"/>
      <c r="P569" s="237"/>
      <c r="Q569" s="237"/>
      <c r="AL569" s="226"/>
      <c r="AM569" s="226"/>
    </row>
    <row r="570" spans="1:39" x14ac:dyDescent="0.25">
      <c r="AA570" s="237"/>
      <c r="AB570" s="237"/>
      <c r="AC570" s="237"/>
      <c r="AD570" s="237"/>
      <c r="AE570" s="237"/>
      <c r="AF570" s="237"/>
      <c r="AG570" s="237"/>
      <c r="AH570" s="237"/>
      <c r="AJ570" s="238"/>
    </row>
    <row r="571" spans="1:39" ht="12.75" x14ac:dyDescent="0.2">
      <c r="AL571" s="226"/>
      <c r="AM571" s="226"/>
    </row>
    <row r="572" spans="1:39" ht="12.75" x14ac:dyDescent="0.2">
      <c r="A572" s="236"/>
      <c r="B572" s="236"/>
      <c r="C572" s="236"/>
      <c r="D572" s="236"/>
      <c r="E572" s="237"/>
      <c r="G572" s="237"/>
      <c r="H572" s="237"/>
      <c r="I572" s="237"/>
      <c r="K572" s="237"/>
      <c r="N572" s="237"/>
      <c r="O572" s="237"/>
      <c r="P572" s="237"/>
      <c r="Q572" s="237"/>
      <c r="AL572" s="226"/>
      <c r="AM572" s="226"/>
    </row>
    <row r="573" spans="1:39" x14ac:dyDescent="0.25">
      <c r="AA573" s="237"/>
      <c r="AB573" s="237"/>
      <c r="AC573" s="237"/>
      <c r="AD573" s="237"/>
      <c r="AE573" s="237"/>
      <c r="AF573" s="237"/>
      <c r="AG573" s="237"/>
      <c r="AH573" s="237"/>
      <c r="AJ573" s="238"/>
    </row>
    <row r="574" spans="1:39" x14ac:dyDescent="0.25">
      <c r="AA574" s="237"/>
      <c r="AB574" s="237"/>
      <c r="AC574" s="237"/>
      <c r="AD574" s="237"/>
      <c r="AE574" s="237"/>
      <c r="AF574" s="237"/>
      <c r="AG574" s="237"/>
      <c r="AH574" s="237"/>
      <c r="AJ574" s="238"/>
    </row>
    <row r="575" spans="1:39" ht="12.75" x14ac:dyDescent="0.2">
      <c r="AL575" s="226"/>
      <c r="AM575" s="226"/>
    </row>
    <row r="576" spans="1:39" ht="12.75" x14ac:dyDescent="0.2">
      <c r="A576" s="236"/>
      <c r="B576" s="236"/>
      <c r="C576" s="236"/>
      <c r="D576" s="236"/>
      <c r="E576" s="237"/>
      <c r="G576" s="237"/>
      <c r="H576" s="237"/>
      <c r="I576" s="237"/>
      <c r="K576" s="237"/>
      <c r="N576" s="237"/>
      <c r="O576" s="237"/>
      <c r="P576" s="237"/>
      <c r="Q576" s="237"/>
      <c r="AL576" s="226"/>
      <c r="AM576" s="226"/>
    </row>
    <row r="577" spans="1:39" x14ac:dyDescent="0.25">
      <c r="AA577" s="237"/>
      <c r="AB577" s="237"/>
      <c r="AC577" s="237"/>
      <c r="AD577" s="237"/>
      <c r="AE577" s="237"/>
      <c r="AF577" s="237"/>
      <c r="AG577" s="237"/>
      <c r="AH577" s="237"/>
      <c r="AJ577" s="238"/>
    </row>
    <row r="578" spans="1:39" ht="12.75" x14ac:dyDescent="0.2">
      <c r="AL578" s="226"/>
      <c r="AM578" s="226"/>
    </row>
    <row r="579" spans="1:39" ht="12.75" x14ac:dyDescent="0.2">
      <c r="A579" s="236"/>
      <c r="B579" s="236"/>
      <c r="C579" s="236"/>
      <c r="D579" s="236"/>
      <c r="E579" s="237"/>
      <c r="G579" s="237"/>
      <c r="H579" s="237"/>
      <c r="I579" s="237"/>
      <c r="K579" s="237"/>
      <c r="N579" s="237"/>
      <c r="O579" s="237"/>
      <c r="P579" s="237"/>
      <c r="Q579" s="237"/>
      <c r="AL579" s="226"/>
      <c r="AM579" s="226"/>
    </row>
    <row r="580" spans="1:39" x14ac:dyDescent="0.25">
      <c r="T580" s="240"/>
      <c r="U580" s="240"/>
      <c r="V580" s="240"/>
      <c r="W580" s="240"/>
      <c r="Y580" s="240"/>
      <c r="Z580" s="240"/>
      <c r="AA580" s="241"/>
      <c r="AB580" s="241"/>
      <c r="AC580" s="241"/>
      <c r="AD580" s="241"/>
      <c r="AE580" s="241"/>
      <c r="AF580" s="241"/>
      <c r="AG580" s="241"/>
      <c r="AH580" s="241"/>
      <c r="AJ580" s="238"/>
    </row>
    <row r="581" spans="1:39" x14ac:dyDescent="0.25">
      <c r="AA581" s="237"/>
      <c r="AB581" s="237"/>
      <c r="AC581" s="237"/>
      <c r="AD581" s="237"/>
      <c r="AE581" s="237"/>
      <c r="AF581" s="237"/>
      <c r="AG581" s="237"/>
      <c r="AH581" s="237"/>
      <c r="AJ581" s="238"/>
    </row>
    <row r="582" spans="1:39" ht="12.75" x14ac:dyDescent="0.2">
      <c r="AL582" s="226"/>
      <c r="AM582" s="226"/>
    </row>
    <row r="583" spans="1:39" ht="12.75" x14ac:dyDescent="0.2">
      <c r="A583" s="236"/>
      <c r="B583" s="236"/>
      <c r="C583" s="236"/>
      <c r="D583" s="236"/>
      <c r="E583" s="237"/>
      <c r="G583" s="237"/>
      <c r="H583" s="237"/>
      <c r="I583" s="237"/>
      <c r="K583" s="237"/>
      <c r="N583" s="237"/>
      <c r="O583" s="237"/>
      <c r="P583" s="237"/>
      <c r="Q583" s="237"/>
      <c r="AL583" s="226"/>
      <c r="AM583" s="226"/>
    </row>
    <row r="584" spans="1:39" x14ac:dyDescent="0.25">
      <c r="T584" s="240"/>
      <c r="U584" s="240"/>
      <c r="V584" s="240"/>
      <c r="W584" s="240"/>
      <c r="Y584" s="240"/>
      <c r="Z584" s="240"/>
      <c r="AA584" s="241"/>
      <c r="AB584" s="241"/>
      <c r="AC584" s="241"/>
      <c r="AD584" s="241"/>
      <c r="AE584" s="241"/>
      <c r="AF584" s="241"/>
      <c r="AG584" s="241"/>
      <c r="AH584" s="241"/>
      <c r="AJ584" s="238"/>
    </row>
    <row r="585" spans="1:39" ht="12.75" x14ac:dyDescent="0.2">
      <c r="AL585" s="226"/>
      <c r="AM585" s="226"/>
    </row>
    <row r="586" spans="1:39" ht="12.75" x14ac:dyDescent="0.2">
      <c r="A586" s="236"/>
      <c r="B586" s="236"/>
      <c r="C586" s="236"/>
      <c r="D586" s="236"/>
      <c r="E586" s="237"/>
      <c r="G586" s="237"/>
      <c r="H586" s="237"/>
      <c r="I586" s="237"/>
      <c r="K586" s="237"/>
      <c r="N586" s="237"/>
      <c r="O586" s="237"/>
      <c r="P586" s="237"/>
      <c r="Q586" s="237"/>
      <c r="AL586" s="226"/>
      <c r="AM586" s="226"/>
    </row>
    <row r="587" spans="1:39" x14ac:dyDescent="0.25">
      <c r="AA587" s="237"/>
      <c r="AB587" s="237"/>
      <c r="AC587" s="237"/>
      <c r="AD587" s="237"/>
      <c r="AE587" s="237"/>
      <c r="AF587" s="237"/>
      <c r="AG587" s="237"/>
      <c r="AH587" s="237"/>
      <c r="AJ587" s="238"/>
    </row>
    <row r="588" spans="1:39" ht="12.75" x14ac:dyDescent="0.2">
      <c r="AL588" s="226"/>
      <c r="AM588" s="226"/>
    </row>
    <row r="589" spans="1:39" ht="12.75" x14ac:dyDescent="0.2">
      <c r="A589" s="236"/>
      <c r="B589" s="236"/>
      <c r="C589" s="236"/>
      <c r="D589" s="236"/>
      <c r="E589" s="237"/>
      <c r="G589" s="237"/>
      <c r="H589" s="237"/>
      <c r="I589" s="237"/>
      <c r="K589" s="237"/>
      <c r="N589" s="237"/>
      <c r="O589" s="237"/>
      <c r="P589" s="237"/>
      <c r="Q589" s="237"/>
      <c r="AL589" s="226"/>
      <c r="AM589" s="226"/>
    </row>
    <row r="590" spans="1:39" x14ac:dyDescent="0.25">
      <c r="AA590" s="237"/>
      <c r="AB590" s="237"/>
      <c r="AC590" s="237"/>
      <c r="AD590" s="237"/>
      <c r="AE590" s="237"/>
      <c r="AF590" s="237"/>
      <c r="AG590" s="237"/>
      <c r="AH590" s="237"/>
      <c r="AJ590" s="238"/>
    </row>
    <row r="591" spans="1:39" ht="12.75" x14ac:dyDescent="0.2">
      <c r="AL591" s="226"/>
      <c r="AM591" s="226"/>
    </row>
    <row r="592" spans="1:39" ht="12.75" x14ac:dyDescent="0.2">
      <c r="A592" s="236"/>
      <c r="B592" s="236"/>
      <c r="C592" s="236"/>
      <c r="D592" s="236"/>
      <c r="E592" s="237"/>
      <c r="G592" s="237"/>
      <c r="H592" s="237"/>
      <c r="I592" s="237"/>
      <c r="K592" s="237"/>
      <c r="N592" s="237"/>
      <c r="O592" s="237"/>
      <c r="P592" s="237"/>
      <c r="Q592" s="237"/>
      <c r="AL592" s="226"/>
      <c r="AM592" s="226"/>
    </row>
    <row r="593" spans="1:39" x14ac:dyDescent="0.25">
      <c r="AA593" s="237"/>
      <c r="AB593" s="237"/>
      <c r="AC593" s="237"/>
      <c r="AD593" s="237"/>
      <c r="AE593" s="237"/>
      <c r="AF593" s="237"/>
      <c r="AG593" s="237"/>
      <c r="AH593" s="237"/>
      <c r="AJ593" s="238"/>
    </row>
    <row r="594" spans="1:39" ht="12.75" x14ac:dyDescent="0.2">
      <c r="AL594" s="226"/>
      <c r="AM594" s="226"/>
    </row>
    <row r="595" spans="1:39" ht="12.75" x14ac:dyDescent="0.2">
      <c r="A595" s="236"/>
      <c r="B595" s="236"/>
      <c r="C595" s="236"/>
      <c r="D595" s="236"/>
      <c r="E595" s="237"/>
      <c r="G595" s="237"/>
      <c r="H595" s="237"/>
      <c r="I595" s="237"/>
      <c r="K595" s="237"/>
      <c r="N595" s="237"/>
      <c r="O595" s="237"/>
      <c r="P595" s="237"/>
      <c r="Q595" s="237"/>
      <c r="AL595" s="226"/>
      <c r="AM595" s="226"/>
    </row>
    <row r="596" spans="1:39" x14ac:dyDescent="0.25">
      <c r="AA596" s="237"/>
      <c r="AB596" s="237"/>
      <c r="AC596" s="237"/>
      <c r="AD596" s="237"/>
      <c r="AE596" s="237"/>
      <c r="AF596" s="237"/>
      <c r="AG596" s="237"/>
      <c r="AH596" s="237"/>
      <c r="AJ596" s="238"/>
    </row>
    <row r="597" spans="1:39" ht="12.75" x14ac:dyDescent="0.2">
      <c r="AL597" s="226"/>
      <c r="AM597" s="226"/>
    </row>
    <row r="598" spans="1:39" ht="12.75" x14ac:dyDescent="0.2">
      <c r="A598" s="236"/>
      <c r="B598" s="236"/>
      <c r="C598" s="236"/>
      <c r="D598" s="236"/>
      <c r="E598" s="237"/>
      <c r="G598" s="237"/>
      <c r="H598" s="237"/>
      <c r="I598" s="237"/>
      <c r="K598" s="237"/>
      <c r="N598" s="237"/>
      <c r="O598" s="237"/>
      <c r="P598" s="237"/>
      <c r="Q598" s="237"/>
      <c r="AL598" s="226"/>
      <c r="AM598" s="226"/>
    </row>
    <row r="599" spans="1:39" x14ac:dyDescent="0.25">
      <c r="AA599" s="237"/>
      <c r="AB599" s="237"/>
      <c r="AC599" s="237"/>
      <c r="AD599" s="237"/>
      <c r="AE599" s="237"/>
      <c r="AF599" s="237"/>
      <c r="AG599" s="237"/>
      <c r="AH599" s="237"/>
      <c r="AJ599" s="238"/>
    </row>
    <row r="600" spans="1:39" ht="12.75" x14ac:dyDescent="0.2">
      <c r="AL600" s="226"/>
      <c r="AM600" s="226"/>
    </row>
    <row r="601" spans="1:39" ht="12.75" x14ac:dyDescent="0.2">
      <c r="A601" s="236"/>
      <c r="B601" s="236"/>
      <c r="C601" s="236"/>
      <c r="D601" s="236"/>
      <c r="E601" s="237"/>
      <c r="G601" s="237"/>
      <c r="H601" s="237"/>
      <c r="I601" s="237"/>
      <c r="K601" s="237"/>
      <c r="N601" s="237"/>
      <c r="O601" s="237"/>
      <c r="P601" s="237"/>
      <c r="Q601" s="237"/>
      <c r="AL601" s="226"/>
      <c r="AM601" s="226"/>
    </row>
    <row r="602" spans="1:39" x14ac:dyDescent="0.25">
      <c r="AA602" s="237"/>
      <c r="AB602" s="237"/>
      <c r="AC602" s="237"/>
      <c r="AD602" s="237"/>
      <c r="AE602" s="237"/>
      <c r="AF602" s="237"/>
      <c r="AG602" s="237"/>
      <c r="AH602" s="237"/>
      <c r="AJ602" s="238"/>
    </row>
    <row r="603" spans="1:39" x14ac:dyDescent="0.25">
      <c r="AA603" s="237"/>
      <c r="AB603" s="237"/>
      <c r="AC603" s="237"/>
      <c r="AD603" s="237"/>
      <c r="AE603" s="237"/>
      <c r="AF603" s="237"/>
      <c r="AG603" s="237"/>
      <c r="AH603" s="237"/>
      <c r="AJ603" s="238"/>
    </row>
    <row r="604" spans="1:39" ht="12.75" x14ac:dyDescent="0.2">
      <c r="AL604" s="226"/>
      <c r="AM604" s="226"/>
    </row>
    <row r="605" spans="1:39" ht="12.75" x14ac:dyDescent="0.2">
      <c r="A605" s="236"/>
      <c r="B605" s="236"/>
      <c r="C605" s="236"/>
      <c r="D605" s="236"/>
      <c r="E605" s="237"/>
      <c r="G605" s="237"/>
      <c r="H605" s="237"/>
      <c r="I605" s="237"/>
      <c r="K605" s="237"/>
      <c r="N605" s="237"/>
      <c r="O605" s="237"/>
      <c r="P605" s="237"/>
      <c r="Q605" s="237"/>
      <c r="AL605" s="226"/>
      <c r="AM605" s="226"/>
    </row>
    <row r="606" spans="1:39" x14ac:dyDescent="0.25">
      <c r="AA606" s="237"/>
      <c r="AB606" s="237"/>
      <c r="AC606" s="237"/>
      <c r="AD606" s="237"/>
      <c r="AE606" s="237"/>
      <c r="AF606" s="237"/>
      <c r="AG606" s="237"/>
      <c r="AH606" s="237"/>
      <c r="AJ606" s="238"/>
    </row>
    <row r="607" spans="1:39" x14ac:dyDescent="0.25">
      <c r="AA607" s="237"/>
      <c r="AB607" s="237"/>
      <c r="AC607" s="237"/>
      <c r="AD607" s="237"/>
      <c r="AE607" s="237"/>
      <c r="AF607" s="237"/>
      <c r="AG607" s="237"/>
      <c r="AH607" s="237"/>
      <c r="AJ607" s="238"/>
    </row>
    <row r="608" spans="1:39" x14ac:dyDescent="0.25">
      <c r="AA608" s="237"/>
      <c r="AB608" s="237"/>
      <c r="AC608" s="237"/>
      <c r="AD608" s="237"/>
      <c r="AE608" s="237"/>
      <c r="AF608" s="237"/>
      <c r="AG608" s="237"/>
      <c r="AH608" s="237"/>
      <c r="AJ608" s="238"/>
    </row>
    <row r="609" spans="1:39" ht="12.75" x14ac:dyDescent="0.2">
      <c r="AL609" s="226"/>
      <c r="AM609" s="226"/>
    </row>
    <row r="610" spans="1:39" ht="12.75" x14ac:dyDescent="0.2">
      <c r="A610" s="236"/>
      <c r="B610" s="236"/>
      <c r="C610" s="236"/>
      <c r="D610" s="236"/>
      <c r="E610" s="237"/>
      <c r="G610" s="237"/>
      <c r="H610" s="237"/>
      <c r="I610" s="237"/>
      <c r="K610" s="237"/>
      <c r="N610" s="237"/>
      <c r="O610" s="237"/>
      <c r="P610" s="237"/>
      <c r="Q610" s="237"/>
      <c r="AL610" s="226"/>
      <c r="AM610" s="226"/>
    </row>
    <row r="611" spans="1:39" x14ac:dyDescent="0.25">
      <c r="AA611" s="237"/>
      <c r="AB611" s="237"/>
      <c r="AC611" s="237"/>
      <c r="AD611" s="237"/>
      <c r="AE611" s="237"/>
      <c r="AF611" s="237"/>
      <c r="AG611" s="237"/>
      <c r="AH611" s="237"/>
      <c r="AJ611" s="238"/>
    </row>
    <row r="612" spans="1:39" x14ac:dyDescent="0.25">
      <c r="AA612" s="237"/>
      <c r="AB612" s="237"/>
      <c r="AC612" s="237"/>
      <c r="AD612" s="237"/>
      <c r="AE612" s="237"/>
      <c r="AF612" s="237"/>
      <c r="AG612" s="237"/>
      <c r="AH612" s="237"/>
      <c r="AJ612" s="238"/>
    </row>
    <row r="613" spans="1:39" x14ac:dyDescent="0.25">
      <c r="AA613" s="237"/>
      <c r="AB613" s="237"/>
      <c r="AC613" s="237"/>
      <c r="AD613" s="237"/>
      <c r="AE613" s="237"/>
      <c r="AF613" s="237"/>
      <c r="AG613" s="237"/>
      <c r="AH613" s="237"/>
      <c r="AJ613" s="238"/>
    </row>
    <row r="614" spans="1:39" x14ac:dyDescent="0.25">
      <c r="AA614" s="237"/>
      <c r="AB614" s="237"/>
      <c r="AC614" s="237"/>
      <c r="AD614" s="237"/>
      <c r="AE614" s="237"/>
      <c r="AF614" s="237"/>
      <c r="AG614" s="237"/>
      <c r="AH614" s="237"/>
      <c r="AJ614" s="238"/>
    </row>
    <row r="615" spans="1:39" x14ac:dyDescent="0.25">
      <c r="AA615" s="237"/>
      <c r="AB615" s="237"/>
      <c r="AC615" s="237"/>
      <c r="AD615" s="237"/>
      <c r="AE615" s="237"/>
      <c r="AF615" s="237"/>
      <c r="AG615" s="237"/>
      <c r="AH615" s="237"/>
      <c r="AJ615" s="238"/>
    </row>
    <row r="616" spans="1:39" x14ac:dyDescent="0.25">
      <c r="AA616" s="237"/>
      <c r="AB616" s="237"/>
      <c r="AC616" s="237"/>
      <c r="AD616" s="237"/>
      <c r="AE616" s="237"/>
      <c r="AF616" s="237"/>
      <c r="AG616" s="237"/>
      <c r="AH616" s="237"/>
      <c r="AJ616" s="238"/>
    </row>
    <row r="617" spans="1:39" x14ac:dyDescent="0.25">
      <c r="AA617" s="237"/>
      <c r="AB617" s="237"/>
      <c r="AC617" s="237"/>
      <c r="AD617" s="237"/>
      <c r="AE617" s="237"/>
      <c r="AF617" s="237"/>
      <c r="AG617" s="237"/>
      <c r="AH617" s="237"/>
      <c r="AJ617" s="238"/>
    </row>
    <row r="618" spans="1:39" ht="12.75" x14ac:dyDescent="0.2">
      <c r="AL618" s="226"/>
      <c r="AM618" s="226"/>
    </row>
    <row r="619" spans="1:39" ht="12.75" x14ac:dyDescent="0.2">
      <c r="A619" s="236"/>
      <c r="B619" s="236"/>
      <c r="C619" s="236"/>
      <c r="D619" s="236"/>
      <c r="E619" s="237"/>
      <c r="G619" s="237"/>
      <c r="H619" s="237"/>
      <c r="I619" s="237"/>
      <c r="K619" s="237"/>
      <c r="N619" s="237"/>
      <c r="O619" s="237"/>
      <c r="P619" s="237"/>
      <c r="Q619" s="237"/>
      <c r="AL619" s="226"/>
      <c r="AM619" s="226"/>
    </row>
    <row r="620" spans="1:39" x14ac:dyDescent="0.25">
      <c r="AA620" s="237"/>
      <c r="AB620" s="237"/>
      <c r="AC620" s="237"/>
      <c r="AD620" s="237"/>
      <c r="AE620" s="237"/>
      <c r="AF620" s="237"/>
      <c r="AG620" s="237"/>
      <c r="AH620" s="237"/>
      <c r="AJ620" s="238"/>
    </row>
    <row r="621" spans="1:39" ht="12.75" x14ac:dyDescent="0.2">
      <c r="AL621" s="226"/>
      <c r="AM621" s="226"/>
    </row>
    <row r="622" spans="1:39" ht="12.75" x14ac:dyDescent="0.2">
      <c r="A622" s="236"/>
      <c r="B622" s="236"/>
      <c r="C622" s="236"/>
      <c r="D622" s="236"/>
      <c r="E622" s="237"/>
      <c r="G622" s="237"/>
      <c r="H622" s="237"/>
      <c r="I622" s="237"/>
      <c r="K622" s="237"/>
      <c r="N622" s="237"/>
      <c r="O622" s="237"/>
      <c r="P622" s="237"/>
      <c r="Q622" s="237"/>
      <c r="AL622" s="226"/>
      <c r="AM622" s="226"/>
    </row>
    <row r="623" spans="1:39" x14ac:dyDescent="0.25">
      <c r="AA623" s="237"/>
      <c r="AB623" s="237"/>
      <c r="AC623" s="237"/>
      <c r="AD623" s="237"/>
      <c r="AE623" s="237"/>
      <c r="AF623" s="237"/>
      <c r="AG623" s="237"/>
      <c r="AH623" s="237"/>
      <c r="AJ623" s="238"/>
    </row>
    <row r="624" spans="1:39" ht="12.75" x14ac:dyDescent="0.2">
      <c r="AL624" s="226"/>
      <c r="AM624" s="226"/>
    </row>
    <row r="625" spans="1:39" ht="12.75" x14ac:dyDescent="0.2">
      <c r="A625" s="236"/>
      <c r="B625" s="236"/>
      <c r="C625" s="236"/>
      <c r="D625" s="236"/>
      <c r="E625" s="237"/>
      <c r="G625" s="237"/>
      <c r="H625" s="237"/>
      <c r="I625" s="237"/>
      <c r="K625" s="237"/>
      <c r="N625" s="237"/>
      <c r="O625" s="237"/>
      <c r="P625" s="237"/>
      <c r="Q625" s="237"/>
      <c r="AL625" s="226"/>
      <c r="AM625" s="226"/>
    </row>
    <row r="626" spans="1:39" x14ac:dyDescent="0.25">
      <c r="AA626" s="237"/>
      <c r="AB626" s="237"/>
      <c r="AC626" s="237"/>
      <c r="AD626" s="237"/>
      <c r="AE626" s="237"/>
      <c r="AF626" s="237"/>
      <c r="AG626" s="237"/>
      <c r="AH626" s="237"/>
      <c r="AJ626" s="238"/>
    </row>
    <row r="627" spans="1:39" ht="12.75" x14ac:dyDescent="0.2">
      <c r="AL627" s="226"/>
      <c r="AM627" s="226"/>
    </row>
    <row r="628" spans="1:39" ht="12.75" x14ac:dyDescent="0.2">
      <c r="A628" s="236"/>
      <c r="B628" s="236"/>
      <c r="C628" s="236"/>
      <c r="D628" s="236"/>
      <c r="E628" s="237"/>
      <c r="G628" s="237"/>
      <c r="H628" s="237"/>
      <c r="I628" s="237"/>
      <c r="K628" s="237"/>
      <c r="N628" s="237"/>
      <c r="O628" s="237"/>
      <c r="P628" s="237"/>
      <c r="Q628" s="237"/>
      <c r="AL628" s="226"/>
      <c r="AM628" s="226"/>
    </row>
    <row r="629" spans="1:39" x14ac:dyDescent="0.25">
      <c r="AA629" s="237"/>
      <c r="AB629" s="237"/>
      <c r="AC629" s="237"/>
      <c r="AD629" s="237"/>
      <c r="AE629" s="237"/>
      <c r="AF629" s="237"/>
      <c r="AG629" s="237"/>
      <c r="AH629" s="237"/>
      <c r="AJ629" s="238"/>
    </row>
    <row r="630" spans="1:39" x14ac:dyDescent="0.25">
      <c r="AA630" s="237"/>
      <c r="AB630" s="237"/>
      <c r="AC630" s="237"/>
      <c r="AD630" s="237"/>
      <c r="AE630" s="237"/>
      <c r="AF630" s="237"/>
      <c r="AG630" s="237"/>
      <c r="AH630" s="237"/>
      <c r="AJ630" s="238"/>
    </row>
    <row r="631" spans="1:39" ht="12.75" x14ac:dyDescent="0.2">
      <c r="AL631" s="226"/>
      <c r="AM631" s="226"/>
    </row>
    <row r="632" spans="1:39" ht="12.75" x14ac:dyDescent="0.2">
      <c r="A632" s="236"/>
      <c r="B632" s="236"/>
      <c r="C632" s="236"/>
      <c r="D632" s="236"/>
      <c r="E632" s="237"/>
      <c r="G632" s="237"/>
      <c r="H632" s="237"/>
      <c r="I632" s="237"/>
      <c r="K632" s="237"/>
      <c r="N632" s="237"/>
      <c r="O632" s="237"/>
      <c r="P632" s="237"/>
      <c r="Q632" s="237"/>
      <c r="AL632" s="226"/>
      <c r="AM632" s="226"/>
    </row>
    <row r="633" spans="1:39" x14ac:dyDescent="0.25">
      <c r="AA633" s="237"/>
      <c r="AB633" s="237"/>
      <c r="AC633" s="237"/>
      <c r="AD633" s="237"/>
      <c r="AE633" s="237"/>
      <c r="AF633" s="237"/>
      <c r="AG633" s="237"/>
      <c r="AH633" s="237"/>
      <c r="AJ633" s="238"/>
    </row>
    <row r="634" spans="1:39" ht="12.75" x14ac:dyDescent="0.2">
      <c r="AL634" s="226"/>
      <c r="AM634" s="226"/>
    </row>
    <row r="635" spans="1:39" ht="12.75" x14ac:dyDescent="0.2">
      <c r="A635" s="236"/>
      <c r="B635" s="236"/>
      <c r="C635" s="236"/>
      <c r="D635" s="236"/>
      <c r="E635" s="237"/>
      <c r="G635" s="237"/>
      <c r="H635" s="237"/>
      <c r="I635" s="237"/>
      <c r="K635" s="237"/>
      <c r="N635" s="237"/>
      <c r="O635" s="237"/>
      <c r="P635" s="237"/>
      <c r="Q635" s="237"/>
      <c r="AL635" s="226"/>
      <c r="AM635" s="226"/>
    </row>
    <row r="636" spans="1:39" x14ac:dyDescent="0.25">
      <c r="AA636" s="237"/>
      <c r="AB636" s="237"/>
      <c r="AC636" s="237"/>
      <c r="AD636" s="237"/>
      <c r="AE636" s="237"/>
      <c r="AF636" s="237"/>
      <c r="AG636" s="237"/>
      <c r="AH636" s="237"/>
      <c r="AJ636" s="238"/>
    </row>
    <row r="637" spans="1:39" ht="12.75" x14ac:dyDescent="0.2">
      <c r="AL637" s="226"/>
      <c r="AM637" s="226"/>
    </row>
    <row r="638" spans="1:39" ht="12.75" x14ac:dyDescent="0.2">
      <c r="A638" s="236"/>
      <c r="B638" s="236"/>
      <c r="C638" s="236"/>
      <c r="D638" s="236"/>
      <c r="E638" s="237"/>
      <c r="G638" s="237"/>
      <c r="H638" s="237"/>
      <c r="I638" s="237"/>
      <c r="K638" s="237"/>
      <c r="N638" s="237"/>
      <c r="O638" s="237"/>
      <c r="P638" s="237"/>
      <c r="Q638" s="237"/>
      <c r="AL638" s="226"/>
      <c r="AM638" s="226"/>
    </row>
    <row r="639" spans="1:39" x14ac:dyDescent="0.25">
      <c r="AA639" s="237"/>
      <c r="AB639" s="237"/>
      <c r="AC639" s="237"/>
      <c r="AD639" s="237"/>
      <c r="AE639" s="237"/>
      <c r="AF639" s="237"/>
      <c r="AG639" s="237"/>
      <c r="AH639" s="237"/>
      <c r="AJ639" s="238"/>
    </row>
    <row r="640" spans="1:39" ht="12.75" x14ac:dyDescent="0.2">
      <c r="AL640" s="226"/>
      <c r="AM640" s="226"/>
    </row>
    <row r="641" spans="1:39" ht="12.75" x14ac:dyDescent="0.2">
      <c r="A641" s="236"/>
      <c r="B641" s="236"/>
      <c r="C641" s="236"/>
      <c r="D641" s="236"/>
      <c r="E641" s="237"/>
      <c r="G641" s="237"/>
      <c r="H641" s="237"/>
      <c r="I641" s="237"/>
      <c r="K641" s="237"/>
      <c r="N641" s="237"/>
      <c r="O641" s="237"/>
      <c r="P641" s="237"/>
      <c r="Q641" s="237"/>
      <c r="AL641" s="226"/>
      <c r="AM641" s="226"/>
    </row>
    <row r="642" spans="1:39" x14ac:dyDescent="0.25">
      <c r="AA642" s="237"/>
      <c r="AB642" s="237"/>
      <c r="AC642" s="237"/>
      <c r="AD642" s="237"/>
      <c r="AE642" s="237"/>
      <c r="AF642" s="237"/>
      <c r="AG642" s="237"/>
      <c r="AH642" s="237"/>
      <c r="AJ642" s="238"/>
    </row>
    <row r="643" spans="1:39" x14ac:dyDescent="0.25">
      <c r="AA643" s="237"/>
      <c r="AB643" s="237"/>
      <c r="AC643" s="237"/>
      <c r="AD643" s="237"/>
      <c r="AE643" s="237"/>
      <c r="AF643" s="237"/>
      <c r="AG643" s="237"/>
      <c r="AH643" s="237"/>
      <c r="AJ643" s="238"/>
    </row>
    <row r="644" spans="1:39" ht="12.75" x14ac:dyDescent="0.2">
      <c r="AL644" s="226"/>
      <c r="AM644" s="226"/>
    </row>
    <row r="645" spans="1:39" ht="12.75" x14ac:dyDescent="0.2">
      <c r="A645" s="236"/>
      <c r="B645" s="236"/>
      <c r="C645" s="236"/>
      <c r="D645" s="236"/>
      <c r="E645" s="237"/>
      <c r="G645" s="237"/>
      <c r="H645" s="237"/>
      <c r="I645" s="237"/>
      <c r="K645" s="237"/>
      <c r="N645" s="237"/>
      <c r="O645" s="237"/>
      <c r="P645" s="237"/>
      <c r="Q645" s="237"/>
      <c r="AL645" s="226"/>
      <c r="AM645" s="226"/>
    </row>
    <row r="646" spans="1:39" x14ac:dyDescent="0.25">
      <c r="AA646" s="237"/>
      <c r="AB646" s="237"/>
      <c r="AC646" s="237"/>
      <c r="AD646" s="237"/>
      <c r="AE646" s="237"/>
      <c r="AF646" s="237"/>
      <c r="AG646" s="237"/>
      <c r="AH646" s="237"/>
      <c r="AJ646" s="238"/>
    </row>
    <row r="647" spans="1:39" x14ac:dyDescent="0.25">
      <c r="AA647" s="237"/>
      <c r="AB647" s="237"/>
      <c r="AC647" s="237"/>
      <c r="AD647" s="237"/>
      <c r="AE647" s="237"/>
      <c r="AF647" s="237"/>
      <c r="AG647" s="237"/>
      <c r="AH647" s="237"/>
      <c r="AJ647" s="238"/>
    </row>
    <row r="648" spans="1:39" ht="12.75" x14ac:dyDescent="0.2">
      <c r="AL648" s="226"/>
      <c r="AM648" s="226"/>
    </row>
    <row r="649" spans="1:39" ht="12.75" x14ac:dyDescent="0.2">
      <c r="A649" s="236"/>
      <c r="B649" s="236"/>
      <c r="C649" s="236"/>
      <c r="D649" s="236"/>
      <c r="E649" s="237"/>
      <c r="G649" s="237"/>
      <c r="H649" s="237"/>
      <c r="I649" s="237"/>
      <c r="K649" s="237"/>
      <c r="N649" s="237"/>
      <c r="O649" s="237"/>
      <c r="P649" s="237"/>
      <c r="Q649" s="237"/>
      <c r="AL649" s="226"/>
      <c r="AM649" s="226"/>
    </row>
    <row r="650" spans="1:39" x14ac:dyDescent="0.25">
      <c r="AA650" s="237"/>
      <c r="AB650" s="237"/>
      <c r="AC650" s="237"/>
      <c r="AD650" s="237"/>
      <c r="AE650" s="237"/>
      <c r="AF650" s="237"/>
      <c r="AG650" s="237"/>
      <c r="AH650" s="237"/>
      <c r="AJ650" s="238"/>
    </row>
    <row r="651" spans="1:39" x14ac:dyDescent="0.25">
      <c r="AA651" s="237"/>
      <c r="AB651" s="237"/>
      <c r="AC651" s="237"/>
      <c r="AD651" s="237"/>
      <c r="AE651" s="237"/>
      <c r="AF651" s="237"/>
      <c r="AG651" s="237"/>
      <c r="AH651" s="237"/>
      <c r="AJ651" s="238"/>
    </row>
    <row r="652" spans="1:39" ht="12.75" x14ac:dyDescent="0.2">
      <c r="AL652" s="226"/>
      <c r="AM652" s="226"/>
    </row>
    <row r="653" spans="1:39" ht="12.75" x14ac:dyDescent="0.2">
      <c r="A653" s="236"/>
      <c r="B653" s="236"/>
      <c r="C653" s="236"/>
      <c r="D653" s="236"/>
      <c r="E653" s="237"/>
      <c r="G653" s="237"/>
      <c r="H653" s="237"/>
      <c r="I653" s="237"/>
      <c r="K653" s="237"/>
      <c r="N653" s="237"/>
      <c r="O653" s="237"/>
      <c r="P653" s="237"/>
      <c r="Q653" s="237"/>
      <c r="AL653" s="226"/>
      <c r="AM653" s="226"/>
    </row>
    <row r="654" spans="1:39" x14ac:dyDescent="0.25">
      <c r="AA654" s="237"/>
      <c r="AB654" s="237"/>
      <c r="AC654" s="237"/>
      <c r="AD654" s="237"/>
      <c r="AE654" s="237"/>
      <c r="AF654" s="237"/>
      <c r="AG654" s="237"/>
      <c r="AH654" s="237"/>
      <c r="AJ654" s="238"/>
    </row>
    <row r="655" spans="1:39" ht="12.75" x14ac:dyDescent="0.2">
      <c r="AL655" s="226"/>
      <c r="AM655" s="226"/>
    </row>
    <row r="656" spans="1:39" ht="12.75" x14ac:dyDescent="0.2">
      <c r="A656" s="236"/>
      <c r="B656" s="236"/>
      <c r="C656" s="236"/>
      <c r="D656" s="236"/>
      <c r="E656" s="237"/>
      <c r="G656" s="237"/>
      <c r="H656" s="237"/>
      <c r="I656" s="237"/>
      <c r="K656" s="237"/>
      <c r="N656" s="237"/>
      <c r="O656" s="237"/>
      <c r="P656" s="237"/>
      <c r="Q656" s="237"/>
      <c r="AL656" s="226"/>
      <c r="AM656" s="226"/>
    </row>
    <row r="657" spans="1:39" x14ac:dyDescent="0.25">
      <c r="AA657" s="237"/>
      <c r="AB657" s="237"/>
      <c r="AC657" s="237"/>
      <c r="AD657" s="237"/>
      <c r="AE657" s="237"/>
      <c r="AF657" s="237"/>
      <c r="AG657" s="237"/>
      <c r="AH657" s="237"/>
      <c r="AJ657" s="238"/>
    </row>
    <row r="658" spans="1:39" ht="12.75" x14ac:dyDescent="0.2">
      <c r="AL658" s="226"/>
      <c r="AM658" s="226"/>
    </row>
    <row r="659" spans="1:39" ht="12.75" x14ac:dyDescent="0.2">
      <c r="A659" s="236"/>
      <c r="B659" s="236"/>
      <c r="C659" s="236"/>
      <c r="D659" s="236"/>
      <c r="E659" s="237"/>
      <c r="G659" s="237"/>
      <c r="H659" s="237"/>
      <c r="I659" s="237"/>
      <c r="K659" s="237"/>
      <c r="N659" s="237"/>
      <c r="O659" s="237"/>
      <c r="P659" s="237"/>
      <c r="Q659" s="237"/>
      <c r="AL659" s="226"/>
      <c r="AM659" s="226"/>
    </row>
    <row r="660" spans="1:39" x14ac:dyDescent="0.25">
      <c r="AA660" s="237"/>
      <c r="AB660" s="237"/>
      <c r="AC660" s="237"/>
      <c r="AD660" s="237"/>
      <c r="AE660" s="237"/>
      <c r="AF660" s="237"/>
      <c r="AG660" s="237"/>
      <c r="AH660" s="237"/>
      <c r="AJ660" s="238"/>
    </row>
    <row r="661" spans="1:39" x14ac:dyDescent="0.25">
      <c r="AA661" s="237"/>
      <c r="AB661" s="237"/>
      <c r="AC661" s="237"/>
      <c r="AD661" s="237"/>
      <c r="AE661" s="237"/>
      <c r="AF661" s="237"/>
      <c r="AG661" s="237"/>
      <c r="AH661" s="237"/>
      <c r="AJ661" s="238"/>
    </row>
    <row r="662" spans="1:39" x14ac:dyDescent="0.25">
      <c r="AA662" s="237"/>
      <c r="AB662" s="237"/>
      <c r="AC662" s="237"/>
      <c r="AD662" s="237"/>
      <c r="AE662" s="237"/>
      <c r="AF662" s="237"/>
      <c r="AG662" s="237"/>
      <c r="AH662" s="237"/>
      <c r="AJ662" s="238"/>
    </row>
    <row r="663" spans="1:39" ht="12.75" x14ac:dyDescent="0.2">
      <c r="AL663" s="226"/>
      <c r="AM663" s="226"/>
    </row>
    <row r="664" spans="1:39" ht="12.75" x14ac:dyDescent="0.2">
      <c r="A664" s="236"/>
      <c r="B664" s="236"/>
      <c r="C664" s="236"/>
      <c r="D664" s="236"/>
      <c r="E664" s="237"/>
      <c r="G664" s="237"/>
      <c r="H664" s="237"/>
      <c r="I664" s="237"/>
      <c r="K664" s="237"/>
      <c r="N664" s="237"/>
      <c r="O664" s="237"/>
      <c r="P664" s="237"/>
      <c r="Q664" s="237"/>
      <c r="AL664" s="226"/>
      <c r="AM664" s="226"/>
    </row>
    <row r="665" spans="1:39" x14ac:dyDescent="0.25">
      <c r="AA665" s="237"/>
      <c r="AB665" s="237"/>
      <c r="AC665" s="237"/>
      <c r="AD665" s="237"/>
      <c r="AE665" s="237"/>
      <c r="AF665" s="237"/>
      <c r="AG665" s="237"/>
      <c r="AH665" s="237"/>
      <c r="AJ665" s="238"/>
    </row>
    <row r="666" spans="1:39" ht="12.75" x14ac:dyDescent="0.2">
      <c r="AL666" s="226"/>
      <c r="AM666" s="226"/>
    </row>
    <row r="667" spans="1:39" ht="12.75" x14ac:dyDescent="0.2">
      <c r="A667" s="236"/>
      <c r="B667" s="236"/>
      <c r="C667" s="236"/>
      <c r="D667" s="236"/>
      <c r="E667" s="237"/>
      <c r="G667" s="237"/>
      <c r="H667" s="237"/>
      <c r="I667" s="237"/>
      <c r="K667" s="237"/>
      <c r="N667" s="237"/>
      <c r="O667" s="237"/>
      <c r="P667" s="237"/>
      <c r="Q667" s="237"/>
      <c r="AL667" s="226"/>
      <c r="AM667" s="226"/>
    </row>
    <row r="668" spans="1:39" x14ac:dyDescent="0.25">
      <c r="AA668" s="237"/>
      <c r="AB668" s="237"/>
      <c r="AC668" s="237"/>
      <c r="AD668" s="237"/>
      <c r="AE668" s="237"/>
      <c r="AF668" s="237"/>
      <c r="AG668" s="237"/>
      <c r="AH668" s="237"/>
      <c r="AJ668" s="238"/>
    </row>
    <row r="669" spans="1:39" ht="12.75" x14ac:dyDescent="0.2">
      <c r="AL669" s="226"/>
      <c r="AM669" s="226"/>
    </row>
    <row r="670" spans="1:39" ht="12.75" x14ac:dyDescent="0.2">
      <c r="A670" s="236"/>
      <c r="B670" s="236"/>
      <c r="C670" s="236"/>
      <c r="D670" s="236"/>
      <c r="E670" s="237"/>
      <c r="G670" s="237"/>
      <c r="H670" s="237"/>
      <c r="I670" s="237"/>
      <c r="K670" s="237"/>
      <c r="N670" s="237"/>
      <c r="O670" s="237"/>
      <c r="P670" s="237"/>
      <c r="Q670" s="237"/>
      <c r="AL670" s="226"/>
      <c r="AM670" s="226"/>
    </row>
    <row r="671" spans="1:39" x14ac:dyDescent="0.25">
      <c r="AA671" s="237"/>
      <c r="AB671" s="237"/>
      <c r="AC671" s="237"/>
      <c r="AD671" s="237"/>
      <c r="AE671" s="237"/>
      <c r="AF671" s="237"/>
      <c r="AG671" s="237"/>
      <c r="AH671" s="237"/>
      <c r="AJ671" s="238"/>
    </row>
    <row r="672" spans="1:39" ht="12.75" x14ac:dyDescent="0.2">
      <c r="AL672" s="226"/>
      <c r="AM672" s="226"/>
    </row>
    <row r="673" spans="1:39" ht="12.75" x14ac:dyDescent="0.2">
      <c r="A673" s="236"/>
      <c r="B673" s="236"/>
      <c r="C673" s="236"/>
      <c r="D673" s="236"/>
      <c r="E673" s="237"/>
      <c r="G673" s="237"/>
      <c r="H673" s="237"/>
      <c r="I673" s="237"/>
      <c r="K673" s="237"/>
      <c r="N673" s="237"/>
      <c r="O673" s="237"/>
      <c r="P673" s="237"/>
      <c r="Q673" s="237"/>
      <c r="AL673" s="226"/>
      <c r="AM673" s="226"/>
    </row>
    <row r="674" spans="1:39" x14ac:dyDescent="0.25">
      <c r="AA674" s="237"/>
      <c r="AB674" s="237"/>
      <c r="AC674" s="237"/>
      <c r="AD674" s="237"/>
      <c r="AE674" s="237"/>
      <c r="AF674" s="237"/>
      <c r="AG674" s="237"/>
      <c r="AH674" s="237"/>
      <c r="AJ674" s="238"/>
    </row>
    <row r="675" spans="1:39" ht="12.75" x14ac:dyDescent="0.2">
      <c r="AL675" s="226"/>
      <c r="AM675" s="226"/>
    </row>
    <row r="676" spans="1:39" ht="12.75" x14ac:dyDescent="0.2">
      <c r="A676" s="236"/>
      <c r="B676" s="236"/>
      <c r="C676" s="236"/>
      <c r="D676" s="236"/>
      <c r="E676" s="237"/>
      <c r="G676" s="237"/>
      <c r="H676" s="237"/>
      <c r="I676" s="237"/>
      <c r="K676" s="237"/>
      <c r="N676" s="237"/>
      <c r="O676" s="237"/>
      <c r="P676" s="237"/>
      <c r="Q676" s="237"/>
      <c r="AL676" s="226"/>
      <c r="AM676" s="226"/>
    </row>
    <row r="677" spans="1:39" x14ac:dyDescent="0.25">
      <c r="AA677" s="237"/>
      <c r="AB677" s="237"/>
      <c r="AC677" s="237"/>
      <c r="AD677" s="237"/>
      <c r="AE677" s="237"/>
      <c r="AF677" s="237"/>
      <c r="AG677" s="237"/>
      <c r="AH677" s="237"/>
      <c r="AJ677" s="238"/>
    </row>
    <row r="678" spans="1:39" ht="12.75" x14ac:dyDescent="0.2">
      <c r="AL678" s="226"/>
      <c r="AM678" s="226"/>
    </row>
    <row r="679" spans="1:39" ht="12.75" x14ac:dyDescent="0.2">
      <c r="A679" s="236"/>
      <c r="B679" s="236"/>
      <c r="C679" s="236"/>
      <c r="D679" s="236"/>
      <c r="E679" s="237"/>
      <c r="G679" s="237"/>
      <c r="H679" s="237"/>
      <c r="I679" s="237"/>
      <c r="K679" s="237"/>
      <c r="N679" s="237"/>
      <c r="O679" s="237"/>
      <c r="P679" s="237"/>
      <c r="Q679" s="237"/>
      <c r="AL679" s="226"/>
      <c r="AM679" s="226"/>
    </row>
    <row r="680" spans="1:39" x14ac:dyDescent="0.25">
      <c r="AA680" s="237"/>
      <c r="AB680" s="237"/>
      <c r="AC680" s="237"/>
      <c r="AD680" s="237"/>
      <c r="AE680" s="237"/>
      <c r="AF680" s="237"/>
      <c r="AG680" s="237"/>
      <c r="AH680" s="237"/>
      <c r="AJ680" s="238"/>
    </row>
    <row r="681" spans="1:39" ht="12.75" x14ac:dyDescent="0.2">
      <c r="AL681" s="226"/>
      <c r="AM681" s="226"/>
    </row>
    <row r="682" spans="1:39" ht="12.75" x14ac:dyDescent="0.2">
      <c r="A682" s="236"/>
      <c r="B682" s="236"/>
      <c r="C682" s="236"/>
      <c r="D682" s="236"/>
      <c r="E682" s="237"/>
      <c r="G682" s="237"/>
      <c r="H682" s="237"/>
      <c r="I682" s="237"/>
      <c r="K682" s="237"/>
      <c r="N682" s="237"/>
      <c r="O682" s="237"/>
      <c r="P682" s="237"/>
      <c r="Q682" s="237"/>
      <c r="AL682" s="226"/>
      <c r="AM682" s="226"/>
    </row>
    <row r="683" spans="1:39" x14ac:dyDescent="0.25">
      <c r="AA683" s="237"/>
      <c r="AB683" s="237"/>
      <c r="AC683" s="237"/>
      <c r="AD683" s="237"/>
      <c r="AE683" s="237"/>
      <c r="AF683" s="237"/>
      <c r="AG683" s="237"/>
      <c r="AH683" s="237"/>
      <c r="AJ683" s="238"/>
    </row>
    <row r="684" spans="1:39" ht="12.75" x14ac:dyDescent="0.2">
      <c r="AL684" s="226"/>
      <c r="AM684" s="226"/>
    </row>
    <row r="685" spans="1:39" ht="12.75" x14ac:dyDescent="0.2">
      <c r="A685" s="236"/>
      <c r="B685" s="236"/>
      <c r="C685" s="236"/>
      <c r="D685" s="236"/>
      <c r="E685" s="237"/>
      <c r="G685" s="237"/>
      <c r="H685" s="237"/>
      <c r="I685" s="237"/>
      <c r="K685" s="237"/>
      <c r="N685" s="237"/>
      <c r="O685" s="237"/>
      <c r="P685" s="237"/>
      <c r="Q685" s="237"/>
      <c r="AL685" s="226"/>
      <c r="AM685" s="226"/>
    </row>
    <row r="686" spans="1:39" x14ac:dyDescent="0.25">
      <c r="AA686" s="237"/>
      <c r="AB686" s="237"/>
      <c r="AC686" s="237"/>
      <c r="AD686" s="237"/>
      <c r="AE686" s="237"/>
      <c r="AF686" s="237"/>
      <c r="AG686" s="237"/>
      <c r="AH686" s="237"/>
      <c r="AJ686" s="238"/>
    </row>
    <row r="687" spans="1:39" x14ac:dyDescent="0.25">
      <c r="AA687" s="237"/>
      <c r="AB687" s="237"/>
      <c r="AC687" s="237"/>
      <c r="AD687" s="237"/>
      <c r="AE687" s="237"/>
      <c r="AF687" s="237"/>
      <c r="AG687" s="237"/>
      <c r="AH687" s="237"/>
      <c r="AJ687" s="238"/>
    </row>
    <row r="688" spans="1:39" x14ac:dyDescent="0.25">
      <c r="AA688" s="237"/>
      <c r="AB688" s="237"/>
      <c r="AC688" s="237"/>
      <c r="AD688" s="237"/>
      <c r="AE688" s="237"/>
      <c r="AF688" s="237"/>
      <c r="AG688" s="237"/>
      <c r="AH688" s="237"/>
      <c r="AJ688" s="238"/>
    </row>
    <row r="689" spans="1:39" ht="12.75" x14ac:dyDescent="0.2">
      <c r="AL689" s="226"/>
      <c r="AM689" s="226"/>
    </row>
    <row r="690" spans="1:39" ht="12.75" x14ac:dyDescent="0.2">
      <c r="A690" s="236"/>
      <c r="B690" s="236"/>
      <c r="C690" s="236"/>
      <c r="D690" s="236"/>
      <c r="E690" s="237"/>
      <c r="G690" s="237"/>
      <c r="H690" s="237"/>
      <c r="I690" s="237"/>
      <c r="K690" s="237"/>
      <c r="N690" s="237"/>
      <c r="O690" s="237"/>
      <c r="P690" s="237"/>
      <c r="Q690" s="237"/>
      <c r="AL690" s="226"/>
      <c r="AM690" s="226"/>
    </row>
    <row r="691" spans="1:39" x14ac:dyDescent="0.25">
      <c r="AA691" s="237"/>
      <c r="AB691" s="237"/>
      <c r="AC691" s="237"/>
      <c r="AD691" s="237"/>
      <c r="AE691" s="237"/>
      <c r="AF691" s="237"/>
      <c r="AG691" s="237"/>
      <c r="AH691" s="237"/>
      <c r="AJ691" s="238"/>
    </row>
    <row r="692" spans="1:39" x14ac:dyDescent="0.25">
      <c r="AA692" s="237"/>
      <c r="AB692" s="237"/>
      <c r="AC692" s="237"/>
      <c r="AD692" s="237"/>
      <c r="AE692" s="237"/>
      <c r="AF692" s="237"/>
      <c r="AG692" s="237"/>
      <c r="AH692" s="237"/>
      <c r="AJ692" s="238"/>
    </row>
    <row r="693" spans="1:39" x14ac:dyDescent="0.25">
      <c r="AA693" s="237"/>
      <c r="AB693" s="237"/>
      <c r="AC693" s="237"/>
      <c r="AD693" s="237"/>
      <c r="AE693" s="237"/>
      <c r="AF693" s="237"/>
      <c r="AG693" s="237"/>
      <c r="AH693" s="237"/>
      <c r="AJ693" s="238"/>
    </row>
    <row r="694" spans="1:39" x14ac:dyDescent="0.25">
      <c r="AA694" s="237"/>
      <c r="AB694" s="237"/>
      <c r="AC694" s="237"/>
      <c r="AD694" s="237"/>
      <c r="AE694" s="237"/>
      <c r="AF694" s="237"/>
      <c r="AG694" s="237"/>
      <c r="AH694" s="237"/>
      <c r="AJ694" s="238"/>
    </row>
    <row r="695" spans="1:39" x14ac:dyDescent="0.25">
      <c r="AA695" s="237"/>
      <c r="AB695" s="237"/>
      <c r="AC695" s="237"/>
      <c r="AD695" s="237"/>
      <c r="AE695" s="237"/>
      <c r="AF695" s="237"/>
      <c r="AG695" s="237"/>
      <c r="AH695" s="237"/>
      <c r="AJ695" s="238"/>
    </row>
    <row r="696" spans="1:39" x14ac:dyDescent="0.25">
      <c r="AA696" s="237"/>
      <c r="AB696" s="237"/>
      <c r="AC696" s="237"/>
      <c r="AD696" s="237"/>
      <c r="AE696" s="237"/>
      <c r="AF696" s="237"/>
      <c r="AG696" s="237"/>
      <c r="AH696" s="237"/>
      <c r="AJ696" s="238"/>
    </row>
    <row r="697" spans="1:39" x14ac:dyDescent="0.25">
      <c r="AA697" s="237"/>
      <c r="AB697" s="237"/>
      <c r="AC697" s="237"/>
      <c r="AD697" s="237"/>
      <c r="AE697" s="237"/>
      <c r="AF697" s="237"/>
      <c r="AG697" s="237"/>
      <c r="AH697" s="237"/>
      <c r="AJ697" s="238"/>
    </row>
    <row r="698" spans="1:39" x14ac:dyDescent="0.25">
      <c r="AA698" s="237"/>
      <c r="AB698" s="237"/>
      <c r="AC698" s="237"/>
      <c r="AD698" s="237"/>
      <c r="AE698" s="237"/>
      <c r="AF698" s="237"/>
      <c r="AG698" s="237"/>
      <c r="AH698" s="237"/>
      <c r="AJ698" s="238"/>
    </row>
    <row r="699" spans="1:39" x14ac:dyDescent="0.25">
      <c r="AA699" s="237"/>
      <c r="AB699" s="237"/>
      <c r="AC699" s="237"/>
      <c r="AD699" s="237"/>
      <c r="AE699" s="237"/>
      <c r="AF699" s="237"/>
      <c r="AG699" s="237"/>
      <c r="AH699" s="237"/>
      <c r="AJ699" s="238"/>
    </row>
    <row r="700" spans="1:39" x14ac:dyDescent="0.25">
      <c r="AA700" s="237"/>
      <c r="AB700" s="237"/>
      <c r="AC700" s="237"/>
      <c r="AD700" s="237"/>
      <c r="AE700" s="237"/>
      <c r="AF700" s="237"/>
      <c r="AG700" s="237"/>
      <c r="AH700" s="237"/>
      <c r="AJ700" s="238"/>
    </row>
    <row r="701" spans="1:39" ht="12.75" x14ac:dyDescent="0.2">
      <c r="AL701" s="226"/>
      <c r="AM701" s="226"/>
    </row>
    <row r="702" spans="1:39" ht="12.75" x14ac:dyDescent="0.2">
      <c r="A702" s="236"/>
      <c r="B702" s="236"/>
      <c r="C702" s="236"/>
      <c r="D702" s="236"/>
      <c r="E702" s="237"/>
      <c r="G702" s="237"/>
      <c r="H702" s="237"/>
      <c r="I702" s="237"/>
      <c r="K702" s="237"/>
      <c r="N702" s="237"/>
      <c r="O702" s="237"/>
      <c r="P702" s="237"/>
      <c r="Q702" s="237"/>
      <c r="AL702" s="226"/>
      <c r="AM702" s="226"/>
    </row>
    <row r="703" spans="1:39" x14ac:dyDescent="0.25">
      <c r="AA703" s="237"/>
      <c r="AB703" s="237"/>
      <c r="AC703" s="237"/>
      <c r="AD703" s="237"/>
      <c r="AE703" s="237"/>
      <c r="AF703" s="237"/>
      <c r="AG703" s="237"/>
      <c r="AH703" s="237"/>
      <c r="AJ703" s="238"/>
    </row>
    <row r="704" spans="1:39" x14ac:dyDescent="0.25">
      <c r="AA704" s="237"/>
      <c r="AB704" s="237"/>
      <c r="AC704" s="237"/>
      <c r="AD704" s="237"/>
      <c r="AE704" s="237"/>
      <c r="AF704" s="237"/>
      <c r="AG704" s="237"/>
      <c r="AH704" s="237"/>
      <c r="AJ704" s="238"/>
    </row>
    <row r="705" spans="1:39" x14ac:dyDescent="0.25">
      <c r="AA705" s="237"/>
      <c r="AB705" s="237"/>
      <c r="AC705" s="237"/>
      <c r="AD705" s="237"/>
      <c r="AE705" s="237"/>
      <c r="AF705" s="237"/>
      <c r="AG705" s="237"/>
      <c r="AH705" s="237"/>
      <c r="AJ705" s="238"/>
    </row>
    <row r="706" spans="1:39" x14ac:dyDescent="0.25">
      <c r="AA706" s="237"/>
      <c r="AB706" s="237"/>
      <c r="AC706" s="237"/>
      <c r="AD706" s="237"/>
      <c r="AE706" s="237"/>
      <c r="AF706" s="237"/>
      <c r="AG706" s="237"/>
      <c r="AH706" s="237"/>
      <c r="AJ706" s="238"/>
    </row>
    <row r="707" spans="1:39" ht="12.75" x14ac:dyDescent="0.2">
      <c r="AL707" s="226"/>
      <c r="AM707" s="226"/>
    </row>
    <row r="708" spans="1:39" ht="12.75" x14ac:dyDescent="0.2">
      <c r="A708" s="236"/>
      <c r="B708" s="236"/>
      <c r="C708" s="236"/>
      <c r="D708" s="236"/>
      <c r="E708" s="237"/>
      <c r="G708" s="237"/>
      <c r="H708" s="237"/>
      <c r="I708" s="237"/>
      <c r="K708" s="237"/>
      <c r="N708" s="237"/>
      <c r="O708" s="237"/>
      <c r="P708" s="237"/>
      <c r="Q708" s="237"/>
      <c r="AL708" s="226"/>
      <c r="AM708" s="226"/>
    </row>
    <row r="709" spans="1:39" x14ac:dyDescent="0.25">
      <c r="AA709" s="237"/>
      <c r="AB709" s="237"/>
      <c r="AC709" s="237"/>
      <c r="AD709" s="237"/>
      <c r="AE709" s="237"/>
      <c r="AF709" s="237"/>
      <c r="AG709" s="237"/>
      <c r="AH709" s="237"/>
      <c r="AJ709" s="238"/>
    </row>
    <row r="710" spans="1:39" ht="12.75" x14ac:dyDescent="0.2">
      <c r="AL710" s="226"/>
      <c r="AM710" s="226"/>
    </row>
    <row r="711" spans="1:39" ht="12.75" x14ac:dyDescent="0.2">
      <c r="A711" s="236"/>
      <c r="B711" s="236"/>
      <c r="C711" s="236"/>
      <c r="D711" s="236"/>
      <c r="E711" s="237"/>
      <c r="G711" s="237"/>
      <c r="H711" s="237"/>
      <c r="I711" s="237"/>
      <c r="K711" s="237"/>
      <c r="N711" s="237"/>
      <c r="O711" s="237"/>
      <c r="P711" s="237"/>
      <c r="Q711" s="237"/>
      <c r="AL711" s="226"/>
      <c r="AM711" s="226"/>
    </row>
    <row r="712" spans="1:39" x14ac:dyDescent="0.25">
      <c r="AA712" s="237"/>
      <c r="AB712" s="237"/>
      <c r="AC712" s="237"/>
      <c r="AD712" s="237"/>
      <c r="AE712" s="237"/>
      <c r="AF712" s="237"/>
      <c r="AG712" s="237"/>
      <c r="AH712" s="237"/>
      <c r="AJ712" s="238"/>
    </row>
    <row r="713" spans="1:39" ht="12.75" x14ac:dyDescent="0.2">
      <c r="AL713" s="226"/>
      <c r="AM713" s="226"/>
    </row>
    <row r="714" spans="1:39" ht="12.75" x14ac:dyDescent="0.2">
      <c r="A714" s="236"/>
      <c r="B714" s="236"/>
      <c r="C714" s="236"/>
      <c r="D714" s="236"/>
      <c r="E714" s="237"/>
      <c r="G714" s="237"/>
      <c r="H714" s="237"/>
      <c r="I714" s="237"/>
      <c r="K714" s="237"/>
      <c r="N714" s="237"/>
      <c r="O714" s="237"/>
      <c r="P714" s="237"/>
      <c r="Q714" s="237"/>
      <c r="AL714" s="226"/>
      <c r="AM714" s="226"/>
    </row>
    <row r="715" spans="1:39" x14ac:dyDescent="0.25">
      <c r="AA715" s="237"/>
      <c r="AB715" s="237"/>
      <c r="AC715" s="237"/>
      <c r="AD715" s="237"/>
      <c r="AE715" s="237"/>
      <c r="AF715" s="237"/>
      <c r="AG715" s="237"/>
      <c r="AH715" s="237"/>
      <c r="AJ715" s="238"/>
    </row>
    <row r="716" spans="1:39" ht="12.75" x14ac:dyDescent="0.2">
      <c r="AL716" s="226"/>
      <c r="AM716" s="226"/>
    </row>
    <row r="717" spans="1:39" ht="12.75" x14ac:dyDescent="0.2">
      <c r="A717" s="236"/>
      <c r="B717" s="236"/>
      <c r="C717" s="236"/>
      <c r="D717" s="236"/>
      <c r="E717" s="237"/>
      <c r="G717" s="237"/>
      <c r="H717" s="237"/>
      <c r="I717" s="237"/>
      <c r="K717" s="237"/>
      <c r="N717" s="237"/>
      <c r="O717" s="237"/>
      <c r="P717" s="237"/>
      <c r="Q717" s="237"/>
      <c r="AL717" s="226"/>
      <c r="AM717" s="226"/>
    </row>
    <row r="718" spans="1:39" x14ac:dyDescent="0.25">
      <c r="AA718" s="237"/>
      <c r="AB718" s="237"/>
      <c r="AC718" s="237"/>
      <c r="AD718" s="237"/>
      <c r="AE718" s="237"/>
      <c r="AF718" s="237"/>
      <c r="AG718" s="237"/>
      <c r="AH718" s="237"/>
      <c r="AJ718" s="238"/>
    </row>
    <row r="719" spans="1:39" x14ac:dyDescent="0.25">
      <c r="AA719" s="237"/>
      <c r="AB719" s="237"/>
      <c r="AC719" s="237"/>
      <c r="AD719" s="237"/>
      <c r="AE719" s="237"/>
      <c r="AF719" s="237"/>
      <c r="AG719" s="237"/>
      <c r="AH719" s="237"/>
      <c r="AJ719" s="238"/>
    </row>
    <row r="720" spans="1:39" ht="12.75" x14ac:dyDescent="0.2">
      <c r="AL720" s="226"/>
      <c r="AM720" s="226"/>
    </row>
    <row r="721" spans="1:39" ht="12.75" x14ac:dyDescent="0.2">
      <c r="A721" s="236"/>
      <c r="B721" s="236"/>
      <c r="C721" s="236"/>
      <c r="D721" s="236"/>
      <c r="E721" s="237"/>
      <c r="G721" s="237"/>
      <c r="H721" s="237"/>
      <c r="I721" s="237"/>
      <c r="K721" s="237"/>
      <c r="N721" s="237"/>
      <c r="O721" s="237"/>
      <c r="P721" s="237"/>
      <c r="Q721" s="237"/>
      <c r="AL721" s="226"/>
      <c r="AM721" s="226"/>
    </row>
    <row r="722" spans="1:39" x14ac:dyDescent="0.25">
      <c r="AA722" s="237"/>
      <c r="AB722" s="237"/>
      <c r="AC722" s="237"/>
      <c r="AD722" s="237"/>
      <c r="AE722" s="237"/>
      <c r="AF722" s="237"/>
      <c r="AG722" s="237"/>
      <c r="AH722" s="237"/>
      <c r="AJ722" s="238"/>
    </row>
    <row r="723" spans="1:39" x14ac:dyDescent="0.25">
      <c r="AA723" s="237"/>
      <c r="AB723" s="237"/>
      <c r="AC723" s="237"/>
      <c r="AD723" s="237"/>
      <c r="AE723" s="237"/>
      <c r="AF723" s="237"/>
      <c r="AG723" s="237"/>
      <c r="AH723" s="237"/>
      <c r="AJ723" s="238"/>
    </row>
    <row r="724" spans="1:39" ht="12.75" x14ac:dyDescent="0.2">
      <c r="AL724" s="226"/>
      <c r="AM724" s="226"/>
    </row>
    <row r="725" spans="1:39" ht="12.75" x14ac:dyDescent="0.2">
      <c r="A725" s="236"/>
      <c r="B725" s="236"/>
      <c r="C725" s="236"/>
      <c r="D725" s="236"/>
      <c r="E725" s="237"/>
      <c r="G725" s="237"/>
      <c r="H725" s="237"/>
      <c r="I725" s="237"/>
      <c r="K725" s="237"/>
      <c r="N725" s="237"/>
      <c r="O725" s="237"/>
      <c r="P725" s="237"/>
      <c r="Q725" s="237"/>
      <c r="AL725" s="226"/>
      <c r="AM725" s="226"/>
    </row>
    <row r="726" spans="1:39" x14ac:dyDescent="0.25">
      <c r="AA726" s="237"/>
      <c r="AB726" s="237"/>
      <c r="AC726" s="237"/>
      <c r="AD726" s="237"/>
      <c r="AE726" s="237"/>
      <c r="AF726" s="237"/>
      <c r="AG726" s="237"/>
      <c r="AH726" s="237"/>
      <c r="AJ726" s="238"/>
    </row>
    <row r="727" spans="1:39" ht="12.75" x14ac:dyDescent="0.2">
      <c r="AL727" s="226"/>
      <c r="AM727" s="226"/>
    </row>
    <row r="728" spans="1:39" ht="12.75" x14ac:dyDescent="0.2">
      <c r="A728" s="236"/>
      <c r="B728" s="236"/>
      <c r="C728" s="236"/>
      <c r="D728" s="236"/>
      <c r="E728" s="237"/>
      <c r="G728" s="237"/>
      <c r="H728" s="237"/>
      <c r="I728" s="237"/>
      <c r="K728" s="237"/>
      <c r="N728" s="237"/>
      <c r="O728" s="237"/>
      <c r="P728" s="237"/>
      <c r="Q728" s="237"/>
      <c r="AL728" s="226"/>
      <c r="AM728" s="226"/>
    </row>
    <row r="729" spans="1:39" x14ac:dyDescent="0.25">
      <c r="AA729" s="237"/>
      <c r="AB729" s="237"/>
      <c r="AC729" s="237"/>
      <c r="AD729" s="237"/>
      <c r="AE729" s="237"/>
      <c r="AF729" s="237"/>
      <c r="AG729" s="237"/>
      <c r="AH729" s="237"/>
      <c r="AJ729" s="238"/>
    </row>
    <row r="730" spans="1:39" x14ac:dyDescent="0.25">
      <c r="AA730" s="237"/>
      <c r="AB730" s="237"/>
      <c r="AC730" s="237"/>
      <c r="AD730" s="237"/>
      <c r="AE730" s="237"/>
      <c r="AF730" s="237"/>
      <c r="AG730" s="237"/>
      <c r="AH730" s="237"/>
      <c r="AJ730" s="238"/>
    </row>
    <row r="731" spans="1:39" x14ac:dyDescent="0.25">
      <c r="AA731" s="237"/>
      <c r="AB731" s="237"/>
      <c r="AC731" s="237"/>
      <c r="AD731" s="237"/>
      <c r="AE731" s="237"/>
      <c r="AF731" s="237"/>
      <c r="AG731" s="237"/>
      <c r="AH731" s="237"/>
      <c r="AJ731" s="238"/>
    </row>
    <row r="732" spans="1:39" x14ac:dyDescent="0.25">
      <c r="AA732" s="237"/>
      <c r="AB732" s="237"/>
      <c r="AC732" s="237"/>
      <c r="AD732" s="237"/>
      <c r="AE732" s="237"/>
      <c r="AF732" s="237"/>
      <c r="AG732" s="237"/>
      <c r="AH732" s="237"/>
      <c r="AJ732" s="238"/>
    </row>
    <row r="733" spans="1:39" x14ac:dyDescent="0.25">
      <c r="AA733" s="237"/>
      <c r="AB733" s="237"/>
      <c r="AC733" s="237"/>
      <c r="AD733" s="237"/>
      <c r="AE733" s="237"/>
      <c r="AF733" s="237"/>
      <c r="AG733" s="237"/>
      <c r="AH733" s="237"/>
      <c r="AJ733" s="238"/>
    </row>
    <row r="734" spans="1:39" ht="12.75" x14ac:dyDescent="0.2">
      <c r="AL734" s="226"/>
      <c r="AM734" s="226"/>
    </row>
    <row r="735" spans="1:39" ht="12.75" x14ac:dyDescent="0.2">
      <c r="A735" s="236"/>
      <c r="B735" s="236"/>
      <c r="C735" s="236"/>
      <c r="D735" s="236"/>
      <c r="E735" s="237"/>
      <c r="G735" s="237"/>
      <c r="H735" s="237"/>
      <c r="I735" s="237"/>
      <c r="K735" s="237"/>
      <c r="N735" s="237"/>
      <c r="O735" s="237"/>
      <c r="P735" s="237"/>
      <c r="Q735" s="237"/>
      <c r="AL735" s="226"/>
      <c r="AM735" s="226"/>
    </row>
    <row r="736" spans="1:39" x14ac:dyDescent="0.25">
      <c r="AA736" s="237"/>
      <c r="AB736" s="237"/>
      <c r="AC736" s="237"/>
      <c r="AD736" s="237"/>
      <c r="AE736" s="237"/>
      <c r="AF736" s="237"/>
      <c r="AG736" s="237"/>
      <c r="AH736" s="237"/>
      <c r="AJ736" s="238"/>
    </row>
    <row r="737" spans="1:39" ht="12.75" x14ac:dyDescent="0.2">
      <c r="AL737" s="226"/>
      <c r="AM737" s="226"/>
    </row>
    <row r="738" spans="1:39" ht="12.75" x14ac:dyDescent="0.2">
      <c r="A738" s="236"/>
      <c r="B738" s="236"/>
      <c r="C738" s="236"/>
      <c r="D738" s="236"/>
      <c r="E738" s="237"/>
      <c r="G738" s="237"/>
      <c r="H738" s="237"/>
      <c r="I738" s="237"/>
      <c r="K738" s="237"/>
      <c r="N738" s="237"/>
      <c r="O738" s="237"/>
      <c r="P738" s="237"/>
      <c r="Q738" s="237"/>
      <c r="AL738" s="226"/>
      <c r="AM738" s="226"/>
    </row>
    <row r="739" spans="1:39" x14ac:dyDescent="0.25">
      <c r="AA739" s="237"/>
      <c r="AB739" s="237"/>
      <c r="AC739" s="237"/>
      <c r="AD739" s="237"/>
      <c r="AE739" s="237"/>
      <c r="AF739" s="237"/>
      <c r="AG739" s="237"/>
      <c r="AH739" s="237"/>
      <c r="AJ739" s="238"/>
    </row>
    <row r="740" spans="1:39" x14ac:dyDescent="0.25">
      <c r="AA740" s="237"/>
      <c r="AB740" s="237"/>
      <c r="AC740" s="237"/>
      <c r="AD740" s="237"/>
      <c r="AE740" s="237"/>
      <c r="AF740" s="237"/>
      <c r="AG740" s="237"/>
      <c r="AH740" s="237"/>
      <c r="AJ740" s="238"/>
    </row>
    <row r="741" spans="1:39" x14ac:dyDescent="0.25">
      <c r="AA741" s="237"/>
      <c r="AB741" s="237"/>
      <c r="AC741" s="237"/>
      <c r="AD741" s="237"/>
      <c r="AE741" s="237"/>
      <c r="AF741" s="237"/>
      <c r="AG741" s="237"/>
      <c r="AH741" s="237"/>
      <c r="AJ741" s="238"/>
    </row>
    <row r="742" spans="1:39" x14ac:dyDescent="0.25">
      <c r="AA742" s="237"/>
      <c r="AB742" s="237"/>
      <c r="AC742" s="237"/>
      <c r="AD742" s="237"/>
      <c r="AE742" s="237"/>
      <c r="AF742" s="237"/>
      <c r="AG742" s="237"/>
      <c r="AH742" s="237"/>
      <c r="AJ742" s="238"/>
    </row>
    <row r="743" spans="1:39" x14ac:dyDescent="0.25">
      <c r="AA743" s="237"/>
      <c r="AB743" s="237"/>
      <c r="AC743" s="237"/>
      <c r="AD743" s="237"/>
      <c r="AE743" s="237"/>
      <c r="AF743" s="237"/>
      <c r="AG743" s="237"/>
      <c r="AH743" s="237"/>
      <c r="AJ743" s="238"/>
    </row>
    <row r="744" spans="1:39" x14ac:dyDescent="0.25">
      <c r="AA744" s="237"/>
      <c r="AB744" s="237"/>
      <c r="AC744" s="237"/>
      <c r="AD744" s="237"/>
      <c r="AE744" s="237"/>
      <c r="AF744" s="237"/>
      <c r="AG744" s="237"/>
      <c r="AH744" s="237"/>
      <c r="AJ744" s="238"/>
    </row>
    <row r="745" spans="1:39" x14ac:dyDescent="0.25">
      <c r="AA745" s="237"/>
      <c r="AB745" s="237"/>
      <c r="AC745" s="237"/>
      <c r="AD745" s="237"/>
      <c r="AE745" s="237"/>
      <c r="AF745" s="237"/>
      <c r="AG745" s="237"/>
      <c r="AH745" s="237"/>
      <c r="AJ745" s="238"/>
    </row>
    <row r="746" spans="1:39" x14ac:dyDescent="0.25">
      <c r="AA746" s="237"/>
      <c r="AB746" s="237"/>
      <c r="AC746" s="237"/>
      <c r="AD746" s="237"/>
      <c r="AE746" s="237"/>
      <c r="AF746" s="237"/>
      <c r="AG746" s="237"/>
      <c r="AH746" s="237"/>
      <c r="AJ746" s="238"/>
    </row>
    <row r="747" spans="1:39" x14ac:dyDescent="0.25">
      <c r="AA747" s="237"/>
      <c r="AB747" s="237"/>
      <c r="AC747" s="237"/>
      <c r="AD747" s="237"/>
      <c r="AE747" s="237"/>
      <c r="AF747" s="237"/>
      <c r="AG747" s="237"/>
      <c r="AH747" s="237"/>
      <c r="AJ747" s="238"/>
    </row>
    <row r="748" spans="1:39" x14ac:dyDescent="0.25">
      <c r="AA748" s="237"/>
      <c r="AB748" s="237"/>
      <c r="AC748" s="237"/>
      <c r="AD748" s="237"/>
      <c r="AE748" s="237"/>
      <c r="AF748" s="237"/>
      <c r="AG748" s="237"/>
      <c r="AH748" s="237"/>
      <c r="AJ748" s="238"/>
    </row>
    <row r="749" spans="1:39" ht="12.75" x14ac:dyDescent="0.2">
      <c r="AL749" s="226"/>
      <c r="AM749" s="226"/>
    </row>
    <row r="750" spans="1:39" ht="12.75" x14ac:dyDescent="0.2">
      <c r="A750" s="236"/>
      <c r="B750" s="236"/>
      <c r="C750" s="236"/>
      <c r="D750" s="236"/>
      <c r="E750" s="237"/>
      <c r="G750" s="237"/>
      <c r="H750" s="237"/>
      <c r="I750" s="237"/>
      <c r="K750" s="237"/>
      <c r="N750" s="237"/>
      <c r="O750" s="237"/>
      <c r="P750" s="237"/>
      <c r="Q750" s="237"/>
      <c r="AL750" s="226"/>
      <c r="AM750" s="226"/>
    </row>
    <row r="751" spans="1:39" x14ac:dyDescent="0.25">
      <c r="AA751" s="237"/>
      <c r="AB751" s="237"/>
      <c r="AC751" s="237"/>
      <c r="AD751" s="237"/>
      <c r="AE751" s="237"/>
      <c r="AF751" s="237"/>
      <c r="AG751" s="237"/>
      <c r="AH751" s="237"/>
      <c r="AJ751" s="238"/>
    </row>
    <row r="752" spans="1:39" x14ac:dyDescent="0.25">
      <c r="AA752" s="237"/>
      <c r="AB752" s="237"/>
      <c r="AC752" s="237"/>
      <c r="AD752" s="237"/>
      <c r="AE752" s="237"/>
      <c r="AF752" s="237"/>
      <c r="AG752" s="237"/>
      <c r="AH752" s="237"/>
      <c r="AJ752" s="238"/>
    </row>
    <row r="753" spans="1:39" ht="12.75" x14ac:dyDescent="0.2">
      <c r="AL753" s="226"/>
      <c r="AM753" s="226"/>
    </row>
    <row r="754" spans="1:39" ht="12.75" x14ac:dyDescent="0.2">
      <c r="A754" s="236"/>
      <c r="B754" s="236"/>
      <c r="C754" s="236"/>
      <c r="D754" s="236"/>
      <c r="E754" s="237"/>
      <c r="G754" s="237"/>
      <c r="H754" s="237"/>
      <c r="I754" s="237"/>
      <c r="K754" s="237"/>
      <c r="N754" s="237"/>
      <c r="O754" s="237"/>
      <c r="P754" s="237"/>
      <c r="Q754" s="237"/>
      <c r="AL754" s="226"/>
      <c r="AM754" s="226"/>
    </row>
    <row r="755" spans="1:39" x14ac:dyDescent="0.25">
      <c r="AA755" s="237"/>
      <c r="AB755" s="237"/>
      <c r="AC755" s="237"/>
      <c r="AD755" s="237"/>
      <c r="AE755" s="237"/>
      <c r="AF755" s="237"/>
      <c r="AG755" s="237"/>
      <c r="AH755" s="237"/>
      <c r="AJ755" s="238"/>
    </row>
    <row r="756" spans="1:39" ht="12.75" x14ac:dyDescent="0.2">
      <c r="AL756" s="226"/>
      <c r="AM756" s="226"/>
    </row>
    <row r="757" spans="1:39" ht="12.75" x14ac:dyDescent="0.2">
      <c r="A757" s="236"/>
      <c r="B757" s="236"/>
      <c r="C757" s="236"/>
      <c r="D757" s="236"/>
      <c r="E757" s="237"/>
      <c r="G757" s="237"/>
      <c r="H757" s="237"/>
      <c r="I757" s="237"/>
      <c r="K757" s="237"/>
      <c r="N757" s="237"/>
      <c r="O757" s="237"/>
      <c r="P757" s="237"/>
      <c r="Q757" s="237"/>
      <c r="AL757" s="226"/>
      <c r="AM757" s="226"/>
    </row>
    <row r="758" spans="1:39" x14ac:dyDescent="0.25">
      <c r="AA758" s="237"/>
      <c r="AB758" s="237"/>
      <c r="AC758" s="237"/>
      <c r="AD758" s="237"/>
      <c r="AE758" s="237"/>
      <c r="AF758" s="237"/>
      <c r="AG758" s="237"/>
      <c r="AH758" s="237"/>
      <c r="AJ758" s="238"/>
    </row>
    <row r="759" spans="1:39" ht="12.75" x14ac:dyDescent="0.2">
      <c r="AL759" s="226"/>
      <c r="AM759" s="226"/>
    </row>
    <row r="760" spans="1:39" ht="12.75" x14ac:dyDescent="0.2">
      <c r="A760" s="236"/>
      <c r="B760" s="236"/>
      <c r="C760" s="236"/>
      <c r="D760" s="236"/>
      <c r="E760" s="237"/>
      <c r="G760" s="237"/>
      <c r="H760" s="237"/>
      <c r="I760" s="237"/>
      <c r="K760" s="237"/>
      <c r="N760" s="237"/>
      <c r="O760" s="237"/>
      <c r="P760" s="237"/>
      <c r="Q760" s="237"/>
      <c r="AL760" s="226"/>
      <c r="AM760" s="226"/>
    </row>
    <row r="761" spans="1:39" x14ac:dyDescent="0.25">
      <c r="AA761" s="237"/>
      <c r="AB761" s="237"/>
      <c r="AC761" s="237"/>
      <c r="AD761" s="237"/>
      <c r="AE761" s="237"/>
      <c r="AF761" s="237"/>
      <c r="AG761" s="237"/>
      <c r="AH761" s="237"/>
      <c r="AJ761" s="238"/>
    </row>
    <row r="762" spans="1:39" ht="12.75" x14ac:dyDescent="0.2">
      <c r="AL762" s="226"/>
      <c r="AM762" s="226"/>
    </row>
    <row r="763" spans="1:39" ht="12.75" x14ac:dyDescent="0.2">
      <c r="A763" s="236"/>
      <c r="B763" s="236"/>
      <c r="C763" s="236"/>
      <c r="D763" s="236"/>
      <c r="E763" s="237"/>
      <c r="G763" s="237"/>
      <c r="H763" s="237"/>
      <c r="I763" s="237"/>
      <c r="K763" s="237"/>
      <c r="N763" s="237"/>
      <c r="O763" s="237"/>
      <c r="P763" s="237"/>
      <c r="Q763" s="237"/>
      <c r="AL763" s="226"/>
      <c r="AM763" s="226"/>
    </row>
    <row r="764" spans="1:39" x14ac:dyDescent="0.25">
      <c r="AA764" s="237"/>
      <c r="AB764" s="237"/>
      <c r="AC764" s="237"/>
      <c r="AD764" s="237"/>
      <c r="AE764" s="237"/>
      <c r="AF764" s="237"/>
      <c r="AG764" s="237"/>
      <c r="AH764" s="237"/>
      <c r="AJ764" s="238"/>
    </row>
    <row r="765" spans="1:39" ht="12.75" x14ac:dyDescent="0.2">
      <c r="AL765" s="226"/>
      <c r="AM765" s="226"/>
    </row>
    <row r="766" spans="1:39" ht="12.75" x14ac:dyDescent="0.2">
      <c r="A766" s="236"/>
      <c r="B766" s="236"/>
      <c r="C766" s="236"/>
      <c r="D766" s="236"/>
      <c r="E766" s="237"/>
      <c r="G766" s="237"/>
      <c r="H766" s="237"/>
      <c r="I766" s="237"/>
      <c r="K766" s="237"/>
      <c r="N766" s="237"/>
      <c r="O766" s="237"/>
      <c r="P766" s="237"/>
      <c r="Q766" s="237"/>
      <c r="AL766" s="226"/>
      <c r="AM766" s="226"/>
    </row>
    <row r="767" spans="1:39" x14ac:dyDescent="0.25">
      <c r="AA767" s="237"/>
      <c r="AB767" s="237"/>
      <c r="AC767" s="237"/>
      <c r="AD767" s="237"/>
      <c r="AE767" s="237"/>
      <c r="AF767" s="237"/>
      <c r="AG767" s="237"/>
      <c r="AH767" s="237"/>
      <c r="AJ767" s="238"/>
    </row>
    <row r="768" spans="1:39" ht="12.75" x14ac:dyDescent="0.2">
      <c r="AL768" s="226"/>
      <c r="AM768" s="226"/>
    </row>
    <row r="769" spans="1:39" ht="12.75" x14ac:dyDescent="0.2">
      <c r="A769" s="236"/>
      <c r="B769" s="236"/>
      <c r="C769" s="236"/>
      <c r="D769" s="236"/>
      <c r="E769" s="237"/>
      <c r="G769" s="237"/>
      <c r="H769" s="237"/>
      <c r="I769" s="237"/>
      <c r="K769" s="237"/>
      <c r="N769" s="237"/>
      <c r="O769" s="237"/>
      <c r="P769" s="237"/>
      <c r="Q769" s="237"/>
      <c r="AL769" s="226"/>
      <c r="AM769" s="226"/>
    </row>
    <row r="770" spans="1:39" x14ac:dyDescent="0.25">
      <c r="AA770" s="237"/>
      <c r="AB770" s="237"/>
      <c r="AC770" s="237"/>
      <c r="AD770" s="237"/>
      <c r="AE770" s="237"/>
      <c r="AF770" s="237"/>
      <c r="AG770" s="237"/>
      <c r="AH770" s="237"/>
      <c r="AJ770" s="238"/>
    </row>
    <row r="771" spans="1:39" ht="12.75" x14ac:dyDescent="0.2">
      <c r="AL771" s="226"/>
      <c r="AM771" s="226"/>
    </row>
    <row r="772" spans="1:39" ht="12.75" x14ac:dyDescent="0.2">
      <c r="A772" s="236"/>
      <c r="B772" s="236"/>
      <c r="C772" s="236"/>
      <c r="D772" s="236"/>
      <c r="E772" s="237"/>
      <c r="G772" s="237"/>
      <c r="H772" s="237"/>
      <c r="I772" s="237"/>
      <c r="K772" s="237"/>
      <c r="N772" s="237"/>
      <c r="O772" s="237"/>
      <c r="P772" s="237"/>
      <c r="Q772" s="237"/>
      <c r="AL772" s="226"/>
      <c r="AM772" s="226"/>
    </row>
    <row r="773" spans="1:39" x14ac:dyDescent="0.25">
      <c r="AA773" s="237"/>
      <c r="AB773" s="237"/>
      <c r="AC773" s="237"/>
      <c r="AD773" s="237"/>
      <c r="AE773" s="237"/>
      <c r="AF773" s="237"/>
      <c r="AG773" s="237"/>
      <c r="AH773" s="237"/>
      <c r="AJ773" s="238"/>
    </row>
    <row r="774" spans="1:39" x14ac:dyDescent="0.25">
      <c r="AA774" s="237"/>
      <c r="AB774" s="237"/>
      <c r="AC774" s="237"/>
      <c r="AD774" s="237"/>
      <c r="AE774" s="237"/>
      <c r="AF774" s="237"/>
      <c r="AG774" s="237"/>
      <c r="AH774" s="237"/>
      <c r="AJ774" s="238"/>
    </row>
    <row r="775" spans="1:39" ht="12.75" x14ac:dyDescent="0.2">
      <c r="AL775" s="226"/>
      <c r="AM775" s="226"/>
    </row>
    <row r="776" spans="1:39" ht="12.75" x14ac:dyDescent="0.2">
      <c r="A776" s="236"/>
      <c r="B776" s="236"/>
      <c r="C776" s="236"/>
      <c r="D776" s="236"/>
      <c r="E776" s="237"/>
      <c r="G776" s="237"/>
      <c r="H776" s="237"/>
      <c r="I776" s="237"/>
      <c r="K776" s="237"/>
      <c r="N776" s="237"/>
      <c r="O776" s="237"/>
      <c r="P776" s="237"/>
      <c r="Q776" s="237"/>
      <c r="AL776" s="226"/>
      <c r="AM776" s="226"/>
    </row>
    <row r="777" spans="1:39" x14ac:dyDescent="0.25">
      <c r="AA777" s="237"/>
      <c r="AB777" s="237"/>
      <c r="AC777" s="237"/>
      <c r="AD777" s="237"/>
      <c r="AE777" s="237"/>
      <c r="AF777" s="237"/>
      <c r="AG777" s="237"/>
      <c r="AH777" s="237"/>
      <c r="AJ777" s="238"/>
    </row>
    <row r="778" spans="1:39" ht="12.75" x14ac:dyDescent="0.2">
      <c r="AL778" s="226"/>
      <c r="AM778" s="226"/>
    </row>
    <row r="779" spans="1:39" ht="12.75" x14ac:dyDescent="0.2">
      <c r="A779" s="236"/>
      <c r="B779" s="236"/>
      <c r="C779" s="236"/>
      <c r="D779" s="236"/>
      <c r="E779" s="237"/>
      <c r="G779" s="237"/>
      <c r="H779" s="237"/>
      <c r="I779" s="237"/>
      <c r="K779" s="237"/>
      <c r="N779" s="237"/>
      <c r="O779" s="237"/>
      <c r="P779" s="237"/>
      <c r="Q779" s="237"/>
      <c r="AL779" s="226"/>
      <c r="AM779" s="226"/>
    </row>
    <row r="780" spans="1:39" x14ac:dyDescent="0.25">
      <c r="AA780" s="237"/>
      <c r="AB780" s="237"/>
      <c r="AC780" s="237"/>
      <c r="AD780" s="237"/>
      <c r="AE780" s="237"/>
      <c r="AF780" s="237"/>
      <c r="AG780" s="237"/>
      <c r="AH780" s="237"/>
      <c r="AJ780" s="238"/>
    </row>
    <row r="781" spans="1:39" ht="12.75" x14ac:dyDescent="0.2">
      <c r="AL781" s="226"/>
      <c r="AM781" s="226"/>
    </row>
    <row r="782" spans="1:39" ht="12.75" x14ac:dyDescent="0.2">
      <c r="A782" s="236"/>
      <c r="B782" s="236"/>
      <c r="C782" s="236"/>
      <c r="D782" s="236"/>
      <c r="E782" s="237"/>
      <c r="G782" s="237"/>
      <c r="H782" s="237"/>
      <c r="I782" s="237"/>
      <c r="K782" s="237"/>
      <c r="N782" s="237"/>
      <c r="O782" s="237"/>
      <c r="P782" s="237"/>
      <c r="Q782" s="237"/>
      <c r="AL782" s="226"/>
      <c r="AM782" s="226"/>
    </row>
    <row r="783" spans="1:39" x14ac:dyDescent="0.25">
      <c r="AA783" s="237"/>
      <c r="AB783" s="237"/>
      <c r="AC783" s="237"/>
      <c r="AD783" s="237"/>
      <c r="AE783" s="237"/>
      <c r="AF783" s="237"/>
      <c r="AG783" s="237"/>
      <c r="AH783" s="237"/>
      <c r="AJ783" s="238"/>
    </row>
    <row r="784" spans="1:39" ht="12.75" x14ac:dyDescent="0.2">
      <c r="AL784" s="226"/>
      <c r="AM784" s="226"/>
    </row>
    <row r="785" spans="1:39" ht="12.75" x14ac:dyDescent="0.2">
      <c r="A785" s="236"/>
      <c r="B785" s="236"/>
      <c r="C785" s="236"/>
      <c r="D785" s="236"/>
      <c r="E785" s="237"/>
      <c r="G785" s="237"/>
      <c r="H785" s="237"/>
      <c r="I785" s="237"/>
      <c r="K785" s="237"/>
      <c r="N785" s="237"/>
      <c r="O785" s="237"/>
      <c r="P785" s="237"/>
      <c r="Q785" s="237"/>
      <c r="AL785" s="226"/>
      <c r="AM785" s="226"/>
    </row>
    <row r="786" spans="1:39" x14ac:dyDescent="0.25">
      <c r="AA786" s="237"/>
      <c r="AB786" s="237"/>
      <c r="AC786" s="237"/>
      <c r="AD786" s="237"/>
      <c r="AE786" s="237"/>
      <c r="AF786" s="237"/>
      <c r="AG786" s="237"/>
      <c r="AH786" s="237"/>
      <c r="AJ786" s="238"/>
    </row>
    <row r="787" spans="1:39" x14ac:dyDescent="0.25">
      <c r="AA787" s="237"/>
      <c r="AB787" s="237"/>
      <c r="AC787" s="237"/>
      <c r="AD787" s="237"/>
      <c r="AE787" s="237"/>
      <c r="AF787" s="237"/>
      <c r="AG787" s="237"/>
      <c r="AH787" s="237"/>
      <c r="AJ787" s="238"/>
    </row>
    <row r="788" spans="1:39" x14ac:dyDescent="0.25">
      <c r="AA788" s="237"/>
      <c r="AB788" s="237"/>
      <c r="AC788" s="237"/>
      <c r="AD788" s="237"/>
      <c r="AE788" s="237"/>
      <c r="AF788" s="237"/>
      <c r="AG788" s="237"/>
      <c r="AH788" s="237"/>
      <c r="AJ788" s="238"/>
    </row>
    <row r="789" spans="1:39" x14ac:dyDescent="0.25">
      <c r="AA789" s="237"/>
      <c r="AB789" s="237"/>
      <c r="AC789" s="237"/>
      <c r="AD789" s="237"/>
      <c r="AE789" s="237"/>
      <c r="AF789" s="237"/>
      <c r="AG789" s="237"/>
      <c r="AH789" s="237"/>
      <c r="AJ789" s="238"/>
    </row>
    <row r="790" spans="1:39" ht="12.75" x14ac:dyDescent="0.2">
      <c r="AL790" s="226"/>
      <c r="AM790" s="226"/>
    </row>
    <row r="791" spans="1:39" ht="12.75" x14ac:dyDescent="0.2">
      <c r="A791" s="236"/>
      <c r="B791" s="236"/>
      <c r="C791" s="236"/>
      <c r="D791" s="236"/>
      <c r="E791" s="237"/>
      <c r="G791" s="237"/>
      <c r="H791" s="237"/>
      <c r="I791" s="237"/>
      <c r="K791" s="237"/>
      <c r="N791" s="237"/>
      <c r="O791" s="237"/>
      <c r="P791" s="237"/>
      <c r="Q791" s="237"/>
      <c r="AL791" s="226"/>
      <c r="AM791" s="226"/>
    </row>
    <row r="792" spans="1:39" x14ac:dyDescent="0.25">
      <c r="AA792" s="237"/>
      <c r="AB792" s="237"/>
      <c r="AC792" s="237"/>
      <c r="AD792" s="237"/>
      <c r="AE792" s="237"/>
      <c r="AF792" s="237"/>
      <c r="AG792" s="237"/>
      <c r="AH792" s="237"/>
      <c r="AJ792" s="238"/>
    </row>
    <row r="793" spans="1:39" ht="12.75" x14ac:dyDescent="0.2">
      <c r="AL793" s="226"/>
      <c r="AM793" s="226"/>
    </row>
    <row r="794" spans="1:39" ht="12.75" x14ac:dyDescent="0.2">
      <c r="A794" s="236"/>
      <c r="B794" s="236"/>
      <c r="C794" s="236"/>
      <c r="D794" s="236"/>
      <c r="E794" s="237"/>
      <c r="G794" s="237"/>
      <c r="H794" s="237"/>
      <c r="I794" s="237"/>
      <c r="K794" s="237"/>
      <c r="N794" s="237"/>
      <c r="O794" s="237"/>
      <c r="P794" s="237"/>
      <c r="Q794" s="237"/>
      <c r="AL794" s="226"/>
      <c r="AM794" s="226"/>
    </row>
    <row r="795" spans="1:39" x14ac:dyDescent="0.25">
      <c r="AA795" s="237"/>
      <c r="AB795" s="237"/>
      <c r="AC795" s="237"/>
      <c r="AD795" s="237"/>
      <c r="AE795" s="237"/>
      <c r="AF795" s="237"/>
      <c r="AG795" s="237"/>
      <c r="AH795" s="237"/>
      <c r="AJ795" s="238"/>
    </row>
    <row r="796" spans="1:39" ht="12.75" x14ac:dyDescent="0.2">
      <c r="AL796" s="226"/>
      <c r="AM796" s="226"/>
    </row>
    <row r="797" spans="1:39" ht="12.75" x14ac:dyDescent="0.2">
      <c r="A797" s="236"/>
      <c r="B797" s="236"/>
      <c r="C797" s="236"/>
      <c r="D797" s="236"/>
      <c r="E797" s="237"/>
      <c r="G797" s="237"/>
      <c r="H797" s="237"/>
      <c r="I797" s="237"/>
      <c r="K797" s="237"/>
      <c r="N797" s="237"/>
      <c r="O797" s="237"/>
      <c r="P797" s="237"/>
      <c r="Q797" s="237"/>
      <c r="AL797" s="226"/>
      <c r="AM797" s="226"/>
    </row>
    <row r="798" spans="1:39" x14ac:dyDescent="0.25">
      <c r="AA798" s="237"/>
      <c r="AB798" s="237"/>
      <c r="AC798" s="237"/>
      <c r="AD798" s="237"/>
      <c r="AE798" s="237"/>
      <c r="AF798" s="237"/>
      <c r="AG798" s="237"/>
      <c r="AH798" s="237"/>
      <c r="AJ798" s="238"/>
    </row>
    <row r="799" spans="1:39" ht="12.75" x14ac:dyDescent="0.2">
      <c r="AL799" s="226"/>
      <c r="AM799" s="226"/>
    </row>
    <row r="800" spans="1:39" ht="12.75" x14ac:dyDescent="0.2">
      <c r="A800" s="236"/>
      <c r="B800" s="236"/>
      <c r="C800" s="236"/>
      <c r="D800" s="236"/>
      <c r="E800" s="237"/>
      <c r="G800" s="237"/>
      <c r="H800" s="237"/>
      <c r="I800" s="237"/>
      <c r="K800" s="237"/>
      <c r="N800" s="237"/>
      <c r="O800" s="237"/>
      <c r="P800" s="237"/>
      <c r="Q800" s="237"/>
      <c r="AL800" s="226"/>
      <c r="AM800" s="226"/>
    </row>
    <row r="801" spans="1:39" x14ac:dyDescent="0.25">
      <c r="AA801" s="237"/>
      <c r="AB801" s="237"/>
      <c r="AC801" s="237"/>
      <c r="AD801" s="237"/>
      <c r="AE801" s="237"/>
      <c r="AF801" s="237"/>
      <c r="AG801" s="237"/>
      <c r="AH801" s="237"/>
      <c r="AJ801" s="238"/>
    </row>
    <row r="802" spans="1:39" x14ac:dyDescent="0.25">
      <c r="AA802" s="237"/>
      <c r="AB802" s="237"/>
      <c r="AC802" s="237"/>
      <c r="AD802" s="237"/>
      <c r="AE802" s="237"/>
      <c r="AF802" s="237"/>
      <c r="AG802" s="237"/>
      <c r="AH802" s="237"/>
      <c r="AJ802" s="238"/>
    </row>
    <row r="803" spans="1:39" x14ac:dyDescent="0.25">
      <c r="AA803" s="237"/>
      <c r="AB803" s="237"/>
      <c r="AC803" s="237"/>
      <c r="AD803" s="237"/>
      <c r="AE803" s="237"/>
      <c r="AF803" s="237"/>
      <c r="AG803" s="237"/>
      <c r="AH803" s="237"/>
      <c r="AJ803" s="238"/>
    </row>
    <row r="804" spans="1:39" x14ac:dyDescent="0.25">
      <c r="AA804" s="237"/>
      <c r="AB804" s="237"/>
      <c r="AC804" s="237"/>
      <c r="AD804" s="237"/>
      <c r="AE804" s="237"/>
      <c r="AF804" s="237"/>
      <c r="AG804" s="237"/>
      <c r="AH804" s="237"/>
      <c r="AJ804" s="238"/>
    </row>
    <row r="805" spans="1:39" x14ac:dyDescent="0.25">
      <c r="AA805" s="237"/>
      <c r="AB805" s="237"/>
      <c r="AC805" s="237"/>
      <c r="AD805" s="237"/>
      <c r="AE805" s="237"/>
      <c r="AF805" s="237"/>
      <c r="AG805" s="237"/>
      <c r="AH805" s="237"/>
      <c r="AJ805" s="238"/>
    </row>
    <row r="806" spans="1:39" ht="12.75" x14ac:dyDescent="0.2">
      <c r="AL806" s="226"/>
      <c r="AM806" s="226"/>
    </row>
    <row r="807" spans="1:39" ht="12.75" x14ac:dyDescent="0.2">
      <c r="A807" s="236"/>
      <c r="B807" s="236"/>
      <c r="C807" s="236"/>
      <c r="D807" s="236"/>
      <c r="E807" s="237"/>
      <c r="G807" s="237"/>
      <c r="H807" s="237"/>
      <c r="I807" s="237"/>
      <c r="K807" s="237"/>
      <c r="N807" s="237"/>
      <c r="O807" s="237"/>
      <c r="P807" s="237"/>
      <c r="Q807" s="237"/>
      <c r="AL807" s="226"/>
      <c r="AM807" s="226"/>
    </row>
    <row r="808" spans="1:39" x14ac:dyDescent="0.25">
      <c r="AA808" s="237"/>
      <c r="AB808" s="237"/>
      <c r="AC808" s="237"/>
      <c r="AD808" s="237"/>
      <c r="AE808" s="237"/>
      <c r="AF808" s="237"/>
      <c r="AG808" s="237"/>
      <c r="AH808" s="237"/>
      <c r="AJ808" s="238"/>
    </row>
    <row r="809" spans="1:39" ht="12.75" x14ac:dyDescent="0.2">
      <c r="AL809" s="226"/>
      <c r="AM809" s="226"/>
    </row>
    <row r="810" spans="1:39" ht="12.75" x14ac:dyDescent="0.2">
      <c r="A810" s="236"/>
      <c r="B810" s="236"/>
      <c r="C810" s="236"/>
      <c r="D810" s="236"/>
      <c r="E810" s="237"/>
      <c r="G810" s="237"/>
      <c r="H810" s="237"/>
      <c r="I810" s="237"/>
      <c r="K810" s="237"/>
      <c r="N810" s="237"/>
      <c r="O810" s="237"/>
      <c r="P810" s="237"/>
      <c r="Q810" s="237"/>
      <c r="AL810" s="226"/>
      <c r="AM810" s="226"/>
    </row>
    <row r="811" spans="1:39" x14ac:dyDescent="0.25">
      <c r="AA811" s="237"/>
      <c r="AB811" s="237"/>
      <c r="AC811" s="237"/>
      <c r="AD811" s="237"/>
      <c r="AE811" s="237"/>
      <c r="AF811" s="237"/>
      <c r="AG811" s="237"/>
      <c r="AH811" s="237"/>
      <c r="AJ811" s="238"/>
    </row>
    <row r="812" spans="1:39" ht="12.75" x14ac:dyDescent="0.2">
      <c r="AL812" s="226"/>
      <c r="AM812" s="226"/>
    </row>
    <row r="813" spans="1:39" ht="12.75" x14ac:dyDescent="0.2">
      <c r="A813" s="236"/>
      <c r="B813" s="236"/>
      <c r="C813" s="236"/>
      <c r="D813" s="236"/>
      <c r="E813" s="237"/>
      <c r="G813" s="237"/>
      <c r="H813" s="237"/>
      <c r="I813" s="237"/>
      <c r="K813" s="237"/>
      <c r="N813" s="237"/>
      <c r="O813" s="237"/>
      <c r="P813" s="237"/>
      <c r="Q813" s="237"/>
      <c r="AL813" s="226"/>
      <c r="AM813" s="226"/>
    </row>
    <row r="814" spans="1:39" x14ac:dyDescent="0.25">
      <c r="AA814" s="237"/>
      <c r="AB814" s="237"/>
      <c r="AC814" s="237"/>
      <c r="AD814" s="237"/>
      <c r="AE814" s="237"/>
      <c r="AF814" s="237"/>
      <c r="AG814" s="237"/>
      <c r="AH814" s="237"/>
      <c r="AJ814" s="238"/>
    </row>
    <row r="815" spans="1:39" ht="12.75" x14ac:dyDescent="0.2">
      <c r="AL815" s="226"/>
      <c r="AM815" s="226"/>
    </row>
    <row r="816" spans="1:39" ht="12.75" x14ac:dyDescent="0.2">
      <c r="A816" s="236"/>
      <c r="B816" s="236"/>
      <c r="C816" s="236"/>
      <c r="D816" s="236"/>
      <c r="E816" s="237"/>
      <c r="G816" s="237"/>
      <c r="H816" s="237"/>
      <c r="I816" s="237"/>
      <c r="K816" s="237"/>
      <c r="N816" s="237"/>
      <c r="O816" s="237"/>
      <c r="P816" s="237"/>
      <c r="Q816" s="237"/>
      <c r="AL816" s="226"/>
      <c r="AM816" s="226"/>
    </row>
    <row r="817" spans="1:39" x14ac:dyDescent="0.25">
      <c r="AA817" s="237"/>
      <c r="AB817" s="237"/>
      <c r="AC817" s="237"/>
      <c r="AD817" s="237"/>
      <c r="AE817" s="237"/>
      <c r="AF817" s="237"/>
      <c r="AG817" s="237"/>
      <c r="AH817" s="237"/>
      <c r="AJ817" s="238"/>
    </row>
    <row r="818" spans="1:39" x14ac:dyDescent="0.25">
      <c r="AA818" s="237"/>
      <c r="AB818" s="237"/>
      <c r="AC818" s="237"/>
      <c r="AD818" s="237"/>
      <c r="AE818" s="237"/>
      <c r="AF818" s="237"/>
      <c r="AG818" s="237"/>
      <c r="AH818" s="237"/>
      <c r="AJ818" s="238"/>
    </row>
    <row r="819" spans="1:39" x14ac:dyDescent="0.25">
      <c r="AA819" s="237"/>
      <c r="AB819" s="237"/>
      <c r="AC819" s="237"/>
      <c r="AD819" s="237"/>
      <c r="AE819" s="237"/>
      <c r="AF819" s="237"/>
      <c r="AG819" s="237"/>
      <c r="AH819" s="237"/>
      <c r="AJ819" s="238"/>
    </row>
    <row r="820" spans="1:39" x14ac:dyDescent="0.25">
      <c r="AA820" s="237"/>
      <c r="AB820" s="237"/>
      <c r="AC820" s="237"/>
      <c r="AD820" s="237"/>
      <c r="AE820" s="237"/>
      <c r="AF820" s="237"/>
      <c r="AG820" s="237"/>
      <c r="AH820" s="237"/>
      <c r="AJ820" s="238"/>
    </row>
    <row r="821" spans="1:39" ht="12.75" x14ac:dyDescent="0.2">
      <c r="AL821" s="226"/>
      <c r="AM821" s="226"/>
    </row>
    <row r="822" spans="1:39" ht="12.75" x14ac:dyDescent="0.2">
      <c r="A822" s="236"/>
      <c r="B822" s="236"/>
      <c r="C822" s="236"/>
      <c r="D822" s="236"/>
      <c r="E822" s="237"/>
      <c r="G822" s="237"/>
      <c r="H822" s="237"/>
      <c r="I822" s="237"/>
      <c r="K822" s="237"/>
      <c r="N822" s="237"/>
      <c r="O822" s="237"/>
      <c r="P822" s="237"/>
      <c r="Q822" s="237"/>
      <c r="AL822" s="226"/>
      <c r="AM822" s="226"/>
    </row>
    <row r="823" spans="1:39" x14ac:dyDescent="0.25">
      <c r="AA823" s="237"/>
      <c r="AB823" s="237"/>
      <c r="AC823" s="237"/>
      <c r="AD823" s="237"/>
      <c r="AE823" s="237"/>
      <c r="AF823" s="237"/>
      <c r="AG823" s="237"/>
      <c r="AH823" s="237"/>
      <c r="AJ823" s="238"/>
    </row>
    <row r="824" spans="1:39" x14ac:dyDescent="0.25">
      <c r="AA824" s="237"/>
      <c r="AB824" s="237"/>
      <c r="AC824" s="237"/>
      <c r="AD824" s="237"/>
      <c r="AE824" s="237"/>
      <c r="AF824" s="237"/>
      <c r="AG824" s="237"/>
      <c r="AH824" s="237"/>
      <c r="AJ824" s="238"/>
    </row>
    <row r="825" spans="1:39" x14ac:dyDescent="0.25">
      <c r="AA825" s="237"/>
      <c r="AB825" s="237"/>
      <c r="AC825" s="237"/>
      <c r="AD825" s="237"/>
      <c r="AE825" s="237"/>
      <c r="AF825" s="237"/>
      <c r="AG825" s="237"/>
      <c r="AH825" s="237"/>
      <c r="AJ825" s="238"/>
    </row>
    <row r="826" spans="1:39" x14ac:dyDescent="0.25">
      <c r="AA826" s="237"/>
      <c r="AB826" s="237"/>
      <c r="AC826" s="237"/>
      <c r="AD826" s="237"/>
      <c r="AE826" s="237"/>
      <c r="AF826" s="237"/>
      <c r="AG826" s="237"/>
      <c r="AH826" s="237"/>
      <c r="AJ826" s="238"/>
    </row>
    <row r="827" spans="1:39" x14ac:dyDescent="0.25">
      <c r="AA827" s="237"/>
      <c r="AB827" s="237"/>
      <c r="AC827" s="237"/>
      <c r="AD827" s="237"/>
      <c r="AE827" s="237"/>
      <c r="AF827" s="237"/>
      <c r="AG827" s="237"/>
      <c r="AH827" s="237"/>
      <c r="AJ827" s="238"/>
    </row>
    <row r="828" spans="1:39" ht="12.75" x14ac:dyDescent="0.2">
      <c r="AL828" s="226"/>
      <c r="AM828" s="226"/>
    </row>
    <row r="829" spans="1:39" ht="12.75" x14ac:dyDescent="0.2">
      <c r="A829" s="236"/>
      <c r="B829" s="236"/>
      <c r="C829" s="236"/>
      <c r="D829" s="236"/>
      <c r="E829" s="237"/>
      <c r="G829" s="237"/>
      <c r="H829" s="237"/>
      <c r="I829" s="237"/>
      <c r="K829" s="237"/>
      <c r="N829" s="237"/>
      <c r="O829" s="237"/>
      <c r="P829" s="237"/>
      <c r="Q829" s="237"/>
      <c r="AL829" s="226"/>
      <c r="AM829" s="226"/>
    </row>
    <row r="830" spans="1:39" x14ac:dyDescent="0.25">
      <c r="AA830" s="237"/>
      <c r="AB830" s="237"/>
      <c r="AC830" s="237"/>
      <c r="AD830" s="237"/>
      <c r="AE830" s="237"/>
      <c r="AF830" s="237"/>
      <c r="AG830" s="237"/>
      <c r="AH830" s="237"/>
      <c r="AJ830" s="238"/>
    </row>
    <row r="831" spans="1:39" ht="12.75" x14ac:dyDescent="0.2">
      <c r="AL831" s="226"/>
      <c r="AM831" s="226"/>
    </row>
    <row r="832" spans="1:39" ht="12.75" x14ac:dyDescent="0.2">
      <c r="A832" s="236"/>
      <c r="B832" s="236"/>
      <c r="C832" s="236"/>
      <c r="D832" s="236"/>
      <c r="E832" s="237"/>
      <c r="G832" s="237"/>
      <c r="H832" s="237"/>
      <c r="I832" s="237"/>
      <c r="K832" s="237"/>
      <c r="N832" s="237"/>
      <c r="O832" s="237"/>
      <c r="P832" s="237"/>
      <c r="Q832" s="237"/>
      <c r="AL832" s="226"/>
      <c r="AM832" s="226"/>
    </row>
    <row r="833" spans="1:39" x14ac:dyDescent="0.25">
      <c r="AA833" s="237"/>
      <c r="AB833" s="237"/>
      <c r="AC833" s="237"/>
      <c r="AD833" s="237"/>
      <c r="AE833" s="237"/>
      <c r="AF833" s="237"/>
      <c r="AG833" s="237"/>
      <c r="AH833" s="237"/>
      <c r="AJ833" s="238"/>
    </row>
    <row r="834" spans="1:39" x14ac:dyDescent="0.25">
      <c r="AA834" s="237"/>
      <c r="AB834" s="237"/>
      <c r="AC834" s="237"/>
      <c r="AD834" s="237"/>
      <c r="AE834" s="237"/>
      <c r="AF834" s="237"/>
      <c r="AG834" s="237"/>
      <c r="AH834" s="237"/>
      <c r="AJ834" s="238"/>
    </row>
    <row r="835" spans="1:39" x14ac:dyDescent="0.25">
      <c r="AA835" s="237"/>
      <c r="AB835" s="237"/>
      <c r="AC835" s="237"/>
      <c r="AD835" s="237"/>
      <c r="AE835" s="237"/>
      <c r="AF835" s="237"/>
      <c r="AG835" s="237"/>
      <c r="AH835" s="237"/>
      <c r="AJ835" s="238"/>
    </row>
    <row r="836" spans="1:39" x14ac:dyDescent="0.25">
      <c r="AA836" s="237"/>
      <c r="AB836" s="237"/>
      <c r="AC836" s="237"/>
      <c r="AD836" s="237"/>
      <c r="AE836" s="237"/>
      <c r="AF836" s="237"/>
      <c r="AG836" s="237"/>
      <c r="AH836" s="237"/>
      <c r="AJ836" s="238"/>
    </row>
    <row r="837" spans="1:39" x14ac:dyDescent="0.25">
      <c r="AA837" s="237"/>
      <c r="AB837" s="237"/>
      <c r="AC837" s="237"/>
      <c r="AD837" s="237"/>
      <c r="AE837" s="237"/>
      <c r="AF837" s="237"/>
      <c r="AG837" s="237"/>
      <c r="AH837" s="237"/>
      <c r="AJ837" s="238"/>
    </row>
    <row r="838" spans="1:39" x14ac:dyDescent="0.25">
      <c r="AA838" s="237"/>
      <c r="AB838" s="237"/>
      <c r="AC838" s="237"/>
      <c r="AD838" s="237"/>
      <c r="AE838" s="237"/>
      <c r="AF838" s="237"/>
      <c r="AG838" s="237"/>
      <c r="AH838" s="237"/>
      <c r="AJ838" s="238"/>
    </row>
    <row r="839" spans="1:39" x14ac:dyDescent="0.25">
      <c r="AA839" s="237"/>
      <c r="AB839" s="237"/>
      <c r="AC839" s="237"/>
      <c r="AD839" s="237"/>
      <c r="AE839" s="237"/>
      <c r="AF839" s="237"/>
      <c r="AG839" s="237"/>
      <c r="AH839" s="237"/>
      <c r="AJ839" s="238"/>
    </row>
    <row r="840" spans="1:39" x14ac:dyDescent="0.25">
      <c r="AA840" s="237"/>
      <c r="AB840" s="237"/>
      <c r="AC840" s="237"/>
      <c r="AD840" s="237"/>
      <c r="AE840" s="237"/>
      <c r="AF840" s="237"/>
      <c r="AG840" s="237"/>
      <c r="AH840" s="237"/>
      <c r="AJ840" s="238"/>
    </row>
    <row r="841" spans="1:39" x14ac:dyDescent="0.25">
      <c r="AA841" s="237"/>
      <c r="AB841" s="237"/>
      <c r="AC841" s="237"/>
      <c r="AD841" s="237"/>
      <c r="AE841" s="237"/>
      <c r="AF841" s="237"/>
      <c r="AG841" s="237"/>
      <c r="AH841" s="237"/>
      <c r="AJ841" s="238"/>
    </row>
    <row r="842" spans="1:39" x14ac:dyDescent="0.25">
      <c r="AA842" s="237"/>
      <c r="AB842" s="237"/>
      <c r="AC842" s="237"/>
      <c r="AD842" s="237"/>
      <c r="AE842" s="237"/>
      <c r="AF842" s="237"/>
      <c r="AG842" s="237"/>
      <c r="AH842" s="237"/>
      <c r="AJ842" s="238"/>
    </row>
    <row r="843" spans="1:39" x14ac:dyDescent="0.25">
      <c r="AA843" s="237"/>
      <c r="AB843" s="237"/>
      <c r="AC843" s="237"/>
      <c r="AD843" s="237"/>
      <c r="AE843" s="237"/>
      <c r="AF843" s="237"/>
      <c r="AG843" s="237"/>
      <c r="AH843" s="237"/>
      <c r="AJ843" s="238"/>
    </row>
    <row r="844" spans="1:39" x14ac:dyDescent="0.25">
      <c r="AA844" s="237"/>
      <c r="AB844" s="237"/>
      <c r="AC844" s="237"/>
      <c r="AD844" s="237"/>
      <c r="AE844" s="237"/>
      <c r="AF844" s="237"/>
      <c r="AG844" s="237"/>
      <c r="AH844" s="237"/>
      <c r="AJ844" s="238"/>
    </row>
    <row r="845" spans="1:39" x14ac:dyDescent="0.25">
      <c r="AA845" s="237"/>
      <c r="AB845" s="237"/>
      <c r="AC845" s="237"/>
      <c r="AD845" s="237"/>
      <c r="AE845" s="237"/>
      <c r="AF845" s="237"/>
      <c r="AG845" s="237"/>
      <c r="AH845" s="237"/>
      <c r="AJ845" s="238"/>
    </row>
    <row r="846" spans="1:39" ht="12.75" x14ac:dyDescent="0.2">
      <c r="AL846" s="226"/>
      <c r="AM846" s="226"/>
    </row>
    <row r="847" spans="1:39" ht="12.75" x14ac:dyDescent="0.2">
      <c r="A847" s="236"/>
      <c r="B847" s="236"/>
      <c r="C847" s="236"/>
      <c r="D847" s="236"/>
      <c r="E847" s="237"/>
      <c r="G847" s="237"/>
      <c r="H847" s="237"/>
      <c r="I847" s="237"/>
      <c r="K847" s="237"/>
      <c r="N847" s="237"/>
      <c r="O847" s="237"/>
      <c r="P847" s="237"/>
      <c r="Q847" s="237"/>
      <c r="AL847" s="226"/>
      <c r="AM847" s="226"/>
    </row>
    <row r="848" spans="1:39" x14ac:dyDescent="0.25">
      <c r="AA848" s="237"/>
      <c r="AB848" s="237"/>
      <c r="AC848" s="237"/>
      <c r="AD848" s="237"/>
      <c r="AE848" s="237"/>
      <c r="AF848" s="237"/>
      <c r="AG848" s="237"/>
      <c r="AH848" s="237"/>
      <c r="AJ848" s="238"/>
    </row>
    <row r="849" spans="1:39" x14ac:dyDescent="0.25">
      <c r="AA849" s="237"/>
      <c r="AB849" s="237"/>
      <c r="AC849" s="237"/>
      <c r="AD849" s="237"/>
      <c r="AE849" s="237"/>
      <c r="AF849" s="237"/>
      <c r="AG849" s="237"/>
      <c r="AH849" s="237"/>
      <c r="AJ849" s="238"/>
    </row>
    <row r="850" spans="1:39" x14ac:dyDescent="0.25">
      <c r="AA850" s="237"/>
      <c r="AB850" s="237"/>
      <c r="AC850" s="237"/>
      <c r="AD850" s="237"/>
      <c r="AE850" s="237"/>
      <c r="AF850" s="237"/>
      <c r="AG850" s="237"/>
      <c r="AH850" s="237"/>
      <c r="AJ850" s="238"/>
    </row>
    <row r="851" spans="1:39" ht="12.75" x14ac:dyDescent="0.2">
      <c r="AL851" s="226"/>
      <c r="AM851" s="226"/>
    </row>
    <row r="852" spans="1:39" ht="12.75" x14ac:dyDescent="0.2">
      <c r="A852" s="236"/>
      <c r="B852" s="236"/>
      <c r="C852" s="236"/>
      <c r="D852" s="236"/>
      <c r="E852" s="237"/>
      <c r="G852" s="237"/>
      <c r="H852" s="237"/>
      <c r="I852" s="237"/>
      <c r="K852" s="237"/>
      <c r="N852" s="237"/>
      <c r="O852" s="237"/>
      <c r="P852" s="237"/>
      <c r="Q852" s="237"/>
      <c r="AL852" s="226"/>
      <c r="AM852" s="226"/>
    </row>
    <row r="853" spans="1:39" x14ac:dyDescent="0.25">
      <c r="AA853" s="237"/>
      <c r="AB853" s="237"/>
      <c r="AC853" s="237"/>
      <c r="AD853" s="237"/>
      <c r="AE853" s="237"/>
      <c r="AF853" s="237"/>
      <c r="AG853" s="237"/>
      <c r="AH853" s="237"/>
      <c r="AJ853" s="238"/>
    </row>
    <row r="854" spans="1:39" x14ac:dyDescent="0.25">
      <c r="AA854" s="237"/>
      <c r="AB854" s="237"/>
      <c r="AC854" s="237"/>
      <c r="AD854" s="237"/>
      <c r="AE854" s="237"/>
      <c r="AF854" s="237"/>
      <c r="AG854" s="237"/>
      <c r="AH854" s="237"/>
      <c r="AJ854" s="238"/>
    </row>
    <row r="855" spans="1:39" x14ac:dyDescent="0.25">
      <c r="AA855" s="237"/>
      <c r="AB855" s="237"/>
      <c r="AC855" s="237"/>
      <c r="AD855" s="237"/>
      <c r="AE855" s="237"/>
      <c r="AF855" s="237"/>
      <c r="AG855" s="237"/>
      <c r="AH855" s="237"/>
      <c r="AJ855" s="238"/>
    </row>
    <row r="856" spans="1:39" x14ac:dyDescent="0.25">
      <c r="AA856" s="237"/>
      <c r="AB856" s="237"/>
      <c r="AC856" s="237"/>
      <c r="AD856" s="237"/>
      <c r="AE856" s="237"/>
      <c r="AF856" s="237"/>
      <c r="AG856" s="237"/>
      <c r="AH856" s="237"/>
      <c r="AJ856" s="238"/>
    </row>
    <row r="857" spans="1:39" x14ac:dyDescent="0.25">
      <c r="AA857" s="237"/>
      <c r="AB857" s="237"/>
      <c r="AC857" s="237"/>
      <c r="AD857" s="237"/>
      <c r="AE857" s="237"/>
      <c r="AF857" s="237"/>
      <c r="AG857" s="237"/>
      <c r="AH857" s="237"/>
      <c r="AJ857" s="238"/>
    </row>
    <row r="858" spans="1:39" x14ac:dyDescent="0.25">
      <c r="AA858" s="237"/>
      <c r="AB858" s="237"/>
      <c r="AC858" s="237"/>
      <c r="AD858" s="237"/>
      <c r="AE858" s="237"/>
      <c r="AF858" s="237"/>
      <c r="AG858" s="237"/>
      <c r="AH858" s="237"/>
      <c r="AJ858" s="238"/>
    </row>
    <row r="859" spans="1:39" ht="12.75" x14ac:dyDescent="0.2">
      <c r="AL859" s="226"/>
      <c r="AM859" s="226"/>
    </row>
    <row r="860" spans="1:39" ht="12.75" x14ac:dyDescent="0.2">
      <c r="A860" s="236"/>
      <c r="B860" s="236"/>
      <c r="C860" s="236"/>
      <c r="D860" s="236"/>
      <c r="E860" s="237"/>
      <c r="G860" s="237"/>
      <c r="H860" s="237"/>
      <c r="I860" s="237"/>
      <c r="K860" s="237"/>
      <c r="N860" s="237"/>
      <c r="O860" s="237"/>
      <c r="P860" s="237"/>
      <c r="Q860" s="237"/>
      <c r="AL860" s="226"/>
      <c r="AM860" s="226"/>
    </row>
    <row r="861" spans="1:39" x14ac:dyDescent="0.25">
      <c r="AA861" s="237"/>
      <c r="AB861" s="237"/>
      <c r="AC861" s="237"/>
      <c r="AD861" s="237"/>
      <c r="AE861" s="237"/>
      <c r="AF861" s="237"/>
      <c r="AG861" s="237"/>
      <c r="AH861" s="237"/>
      <c r="AJ861" s="238"/>
    </row>
    <row r="862" spans="1:39" x14ac:dyDescent="0.25">
      <c r="AA862" s="237"/>
      <c r="AB862" s="237"/>
      <c r="AC862" s="237"/>
      <c r="AD862" s="237"/>
      <c r="AE862" s="237"/>
      <c r="AF862" s="237"/>
      <c r="AG862" s="237"/>
      <c r="AH862" s="237"/>
      <c r="AJ862" s="238"/>
    </row>
    <row r="863" spans="1:39" x14ac:dyDescent="0.25">
      <c r="AA863" s="237"/>
      <c r="AB863" s="237"/>
      <c r="AC863" s="237"/>
      <c r="AD863" s="237"/>
      <c r="AE863" s="237"/>
      <c r="AF863" s="237"/>
      <c r="AG863" s="237"/>
      <c r="AH863" s="237"/>
      <c r="AJ863" s="238"/>
    </row>
    <row r="864" spans="1:39" x14ac:dyDescent="0.25">
      <c r="AA864" s="237"/>
      <c r="AB864" s="237"/>
      <c r="AC864" s="237"/>
      <c r="AD864" s="237"/>
      <c r="AE864" s="237"/>
      <c r="AF864" s="237"/>
      <c r="AG864" s="237"/>
      <c r="AH864" s="237"/>
      <c r="AJ864" s="238"/>
    </row>
    <row r="865" spans="1:39" x14ac:dyDescent="0.25">
      <c r="AA865" s="237"/>
      <c r="AB865" s="237"/>
      <c r="AC865" s="237"/>
      <c r="AD865" s="237"/>
      <c r="AE865" s="237"/>
      <c r="AF865" s="237"/>
      <c r="AG865" s="237"/>
      <c r="AH865" s="237"/>
      <c r="AJ865" s="238"/>
    </row>
    <row r="866" spans="1:39" x14ac:dyDescent="0.25">
      <c r="AA866" s="237"/>
      <c r="AB866" s="237"/>
      <c r="AC866" s="237"/>
      <c r="AD866" s="237"/>
      <c r="AE866" s="237"/>
      <c r="AF866" s="237"/>
      <c r="AG866" s="237"/>
      <c r="AH866" s="237"/>
      <c r="AJ866" s="238"/>
    </row>
    <row r="867" spans="1:39" x14ac:dyDescent="0.25">
      <c r="AA867" s="237"/>
      <c r="AB867" s="237"/>
      <c r="AC867" s="237"/>
      <c r="AD867" s="237"/>
      <c r="AE867" s="237"/>
      <c r="AF867" s="237"/>
      <c r="AG867" s="237"/>
      <c r="AH867" s="237"/>
      <c r="AJ867" s="238"/>
    </row>
    <row r="868" spans="1:39" ht="12.75" x14ac:dyDescent="0.2">
      <c r="AL868" s="226"/>
      <c r="AM868" s="226"/>
    </row>
    <row r="869" spans="1:39" ht="12.75" x14ac:dyDescent="0.2">
      <c r="A869" s="236"/>
      <c r="B869" s="236"/>
      <c r="C869" s="236"/>
      <c r="D869" s="236"/>
      <c r="E869" s="237"/>
      <c r="G869" s="237"/>
      <c r="H869" s="237"/>
      <c r="I869" s="237"/>
      <c r="K869" s="237"/>
      <c r="N869" s="237"/>
      <c r="O869" s="237"/>
      <c r="P869" s="237"/>
      <c r="Q869" s="237"/>
      <c r="AL869" s="226"/>
      <c r="AM869" s="226"/>
    </row>
    <row r="870" spans="1:39" x14ac:dyDescent="0.25">
      <c r="AA870" s="237"/>
      <c r="AB870" s="237"/>
      <c r="AC870" s="237"/>
      <c r="AD870" s="237"/>
      <c r="AE870" s="237"/>
      <c r="AF870" s="237"/>
      <c r="AG870" s="237"/>
      <c r="AH870" s="237"/>
      <c r="AJ870" s="238"/>
    </row>
    <row r="871" spans="1:39" x14ac:dyDescent="0.25">
      <c r="AA871" s="237"/>
      <c r="AB871" s="237"/>
      <c r="AC871" s="237"/>
      <c r="AD871" s="237"/>
      <c r="AE871" s="237"/>
      <c r="AF871" s="237"/>
      <c r="AG871" s="237"/>
      <c r="AH871" s="237"/>
      <c r="AJ871" s="238"/>
    </row>
    <row r="872" spans="1:39" x14ac:dyDescent="0.25">
      <c r="AA872" s="237"/>
      <c r="AB872" s="237"/>
      <c r="AC872" s="237"/>
      <c r="AD872" s="237"/>
      <c r="AE872" s="237"/>
      <c r="AF872" s="237"/>
      <c r="AG872" s="237"/>
      <c r="AH872" s="237"/>
      <c r="AJ872" s="238"/>
    </row>
    <row r="873" spans="1:39" x14ac:dyDescent="0.25">
      <c r="AA873" s="237"/>
      <c r="AB873" s="237"/>
      <c r="AC873" s="237"/>
      <c r="AD873" s="237"/>
      <c r="AE873" s="237"/>
      <c r="AF873" s="237"/>
      <c r="AG873" s="237"/>
      <c r="AH873" s="237"/>
      <c r="AJ873" s="238"/>
    </row>
    <row r="874" spans="1:39" x14ac:dyDescent="0.25">
      <c r="AA874" s="237"/>
      <c r="AB874" s="237"/>
      <c r="AC874" s="237"/>
      <c r="AD874" s="237"/>
      <c r="AE874" s="237"/>
      <c r="AF874" s="237"/>
      <c r="AG874" s="237"/>
      <c r="AH874" s="237"/>
      <c r="AJ874" s="238"/>
    </row>
    <row r="875" spans="1:39" x14ac:dyDescent="0.25">
      <c r="AA875" s="237"/>
      <c r="AB875" s="237"/>
      <c r="AC875" s="237"/>
      <c r="AD875" s="237"/>
      <c r="AE875" s="237"/>
      <c r="AF875" s="237"/>
      <c r="AG875" s="237"/>
      <c r="AH875" s="237"/>
      <c r="AJ875" s="238"/>
    </row>
    <row r="876" spans="1:39" ht="12.75" x14ac:dyDescent="0.2">
      <c r="AL876" s="226"/>
      <c r="AM876" s="226"/>
    </row>
    <row r="877" spans="1:39" ht="12.75" x14ac:dyDescent="0.2">
      <c r="A877" s="236"/>
      <c r="B877" s="236"/>
      <c r="C877" s="236"/>
      <c r="D877" s="236"/>
      <c r="E877" s="237"/>
      <c r="G877" s="237"/>
      <c r="H877" s="237"/>
      <c r="I877" s="237"/>
      <c r="K877" s="237"/>
      <c r="N877" s="237"/>
      <c r="O877" s="237"/>
      <c r="P877" s="237"/>
      <c r="Q877" s="237"/>
      <c r="AL877" s="226"/>
      <c r="AM877" s="226"/>
    </row>
    <row r="878" spans="1:39" x14ac:dyDescent="0.25">
      <c r="AA878" s="237"/>
      <c r="AB878" s="237"/>
      <c r="AC878" s="237"/>
      <c r="AD878" s="237"/>
      <c r="AE878" s="237"/>
      <c r="AF878" s="237"/>
      <c r="AG878" s="237"/>
      <c r="AH878" s="237"/>
      <c r="AJ878" s="238"/>
    </row>
    <row r="879" spans="1:39" x14ac:dyDescent="0.25">
      <c r="AA879" s="237"/>
      <c r="AB879" s="237"/>
      <c r="AC879" s="237"/>
      <c r="AD879" s="237"/>
      <c r="AE879" s="237"/>
      <c r="AF879" s="237"/>
      <c r="AG879" s="237"/>
      <c r="AH879" s="237"/>
      <c r="AJ879" s="238"/>
    </row>
    <row r="880" spans="1:39" ht="12.75" x14ac:dyDescent="0.2">
      <c r="AL880" s="226"/>
      <c r="AM880" s="226"/>
    </row>
    <row r="881" spans="1:39" ht="12.75" x14ac:dyDescent="0.2">
      <c r="A881" s="236"/>
      <c r="B881" s="236"/>
      <c r="C881" s="236"/>
      <c r="D881" s="236"/>
      <c r="E881" s="237"/>
      <c r="G881" s="237"/>
      <c r="H881" s="237"/>
      <c r="I881" s="237"/>
      <c r="K881" s="237"/>
      <c r="N881" s="237"/>
      <c r="O881" s="237"/>
      <c r="P881" s="237"/>
      <c r="Q881" s="237"/>
      <c r="AL881" s="226"/>
      <c r="AM881" s="226"/>
    </row>
    <row r="882" spans="1:39" x14ac:dyDescent="0.25">
      <c r="AA882" s="237"/>
      <c r="AB882" s="237"/>
      <c r="AC882" s="237"/>
      <c r="AD882" s="237"/>
      <c r="AE882" s="237"/>
      <c r="AF882" s="237"/>
      <c r="AG882" s="237"/>
      <c r="AH882" s="237"/>
      <c r="AJ882" s="238"/>
    </row>
    <row r="883" spans="1:39" x14ac:dyDescent="0.25">
      <c r="AA883" s="237"/>
      <c r="AB883" s="237"/>
      <c r="AC883" s="237"/>
      <c r="AD883" s="237"/>
      <c r="AE883" s="237"/>
      <c r="AF883" s="237"/>
      <c r="AG883" s="237"/>
      <c r="AH883" s="237"/>
      <c r="AJ883" s="238"/>
    </row>
    <row r="884" spans="1:39" ht="12.75" x14ac:dyDescent="0.2">
      <c r="AL884" s="226"/>
      <c r="AM884" s="226"/>
    </row>
    <row r="885" spans="1:39" ht="12.75" x14ac:dyDescent="0.2">
      <c r="A885" s="236"/>
      <c r="B885" s="236"/>
      <c r="C885" s="236"/>
      <c r="D885" s="236"/>
      <c r="E885" s="237"/>
      <c r="G885" s="237"/>
      <c r="H885" s="237"/>
      <c r="I885" s="237"/>
      <c r="K885" s="237"/>
      <c r="N885" s="237"/>
      <c r="O885" s="237"/>
      <c r="P885" s="237"/>
      <c r="Q885" s="237"/>
      <c r="AL885" s="226"/>
      <c r="AM885" s="226"/>
    </row>
    <row r="886" spans="1:39" x14ac:dyDescent="0.25">
      <c r="AA886" s="237"/>
      <c r="AB886" s="237"/>
      <c r="AC886" s="237"/>
      <c r="AD886" s="237"/>
      <c r="AE886" s="237"/>
      <c r="AF886" s="237"/>
      <c r="AG886" s="237"/>
      <c r="AH886" s="237"/>
      <c r="AJ886" s="238"/>
    </row>
    <row r="887" spans="1:39" x14ac:dyDescent="0.25">
      <c r="AA887" s="237"/>
      <c r="AB887" s="237"/>
      <c r="AC887" s="237"/>
      <c r="AD887" s="237"/>
      <c r="AE887" s="237"/>
      <c r="AF887" s="237"/>
      <c r="AG887" s="237"/>
      <c r="AH887" s="237"/>
      <c r="AJ887" s="238"/>
    </row>
    <row r="888" spans="1:39" x14ac:dyDescent="0.25">
      <c r="AA888" s="237"/>
      <c r="AB888" s="237"/>
      <c r="AC888" s="237"/>
      <c r="AD888" s="237"/>
      <c r="AE888" s="237"/>
      <c r="AF888" s="237"/>
      <c r="AG888" s="237"/>
      <c r="AH888" s="237"/>
      <c r="AJ888" s="238"/>
    </row>
    <row r="889" spans="1:39" x14ac:dyDescent="0.25">
      <c r="AA889" s="237"/>
      <c r="AB889" s="237"/>
      <c r="AC889" s="237"/>
      <c r="AD889" s="237"/>
      <c r="AE889" s="237"/>
      <c r="AF889" s="237"/>
      <c r="AG889" s="237"/>
      <c r="AH889" s="237"/>
      <c r="AJ889" s="238"/>
    </row>
    <row r="890" spans="1:39" ht="12.75" x14ac:dyDescent="0.2">
      <c r="AL890" s="226"/>
      <c r="AM890" s="226"/>
    </row>
    <row r="891" spans="1:39" ht="12.75" x14ac:dyDescent="0.2">
      <c r="A891" s="236"/>
      <c r="B891" s="236"/>
      <c r="C891" s="236"/>
      <c r="D891" s="236"/>
      <c r="E891" s="237"/>
      <c r="G891" s="237"/>
      <c r="H891" s="237"/>
      <c r="I891" s="237"/>
      <c r="K891" s="237"/>
      <c r="N891" s="237"/>
      <c r="O891" s="237"/>
      <c r="P891" s="237"/>
      <c r="Q891" s="237"/>
      <c r="AL891" s="226"/>
      <c r="AM891" s="226"/>
    </row>
    <row r="892" spans="1:39" x14ac:dyDescent="0.25">
      <c r="AA892" s="237"/>
      <c r="AB892" s="237"/>
      <c r="AC892" s="237"/>
      <c r="AD892" s="237"/>
      <c r="AE892" s="237"/>
      <c r="AF892" s="237"/>
      <c r="AG892" s="237"/>
      <c r="AH892" s="237"/>
      <c r="AJ892" s="238"/>
    </row>
    <row r="893" spans="1:39" x14ac:dyDescent="0.25">
      <c r="AA893" s="237"/>
      <c r="AB893" s="237"/>
      <c r="AC893" s="237"/>
      <c r="AD893" s="237"/>
      <c r="AE893" s="237"/>
      <c r="AF893" s="237"/>
      <c r="AG893" s="237"/>
      <c r="AH893" s="237"/>
      <c r="AJ893" s="238"/>
    </row>
    <row r="894" spans="1:39" ht="12.75" x14ac:dyDescent="0.2">
      <c r="AL894" s="226"/>
      <c r="AM894" s="226"/>
    </row>
    <row r="895" spans="1:39" ht="12.75" x14ac:dyDescent="0.2">
      <c r="A895" s="236"/>
      <c r="B895" s="236"/>
      <c r="C895" s="236"/>
      <c r="D895" s="236"/>
      <c r="E895" s="237"/>
      <c r="G895" s="237"/>
      <c r="H895" s="237"/>
      <c r="I895" s="237"/>
      <c r="K895" s="237"/>
      <c r="N895" s="237"/>
      <c r="O895" s="237"/>
      <c r="P895" s="237"/>
      <c r="Q895" s="237"/>
      <c r="AL895" s="226"/>
      <c r="AM895" s="226"/>
    </row>
    <row r="896" spans="1:39" x14ac:dyDescent="0.25">
      <c r="AA896" s="237"/>
      <c r="AB896" s="237"/>
      <c r="AC896" s="237"/>
      <c r="AD896" s="237"/>
      <c r="AE896" s="237"/>
      <c r="AF896" s="237"/>
      <c r="AG896" s="237"/>
      <c r="AH896" s="237"/>
      <c r="AJ896" s="238"/>
    </row>
    <row r="897" spans="1:39" x14ac:dyDescent="0.25">
      <c r="AA897" s="237"/>
      <c r="AB897" s="237"/>
      <c r="AC897" s="237"/>
      <c r="AD897" s="237"/>
      <c r="AE897" s="237"/>
      <c r="AF897" s="237"/>
      <c r="AG897" s="237"/>
      <c r="AH897" s="237"/>
      <c r="AJ897" s="238"/>
    </row>
    <row r="898" spans="1:39" x14ac:dyDescent="0.25">
      <c r="AA898" s="237"/>
      <c r="AB898" s="237"/>
      <c r="AC898" s="237"/>
      <c r="AD898" s="237"/>
      <c r="AE898" s="237"/>
      <c r="AF898" s="237"/>
      <c r="AG898" s="237"/>
      <c r="AH898" s="237"/>
      <c r="AJ898" s="238"/>
    </row>
    <row r="899" spans="1:39" x14ac:dyDescent="0.25">
      <c r="AA899" s="237"/>
      <c r="AB899" s="237"/>
      <c r="AC899" s="237"/>
      <c r="AD899" s="237"/>
      <c r="AE899" s="237"/>
      <c r="AF899" s="237"/>
      <c r="AG899" s="237"/>
      <c r="AH899" s="237"/>
      <c r="AJ899" s="238"/>
    </row>
    <row r="900" spans="1:39" x14ac:dyDescent="0.25">
      <c r="AA900" s="237"/>
      <c r="AB900" s="237"/>
      <c r="AC900" s="237"/>
      <c r="AD900" s="237"/>
      <c r="AE900" s="237"/>
      <c r="AF900" s="237"/>
      <c r="AG900" s="237"/>
      <c r="AH900" s="237"/>
      <c r="AJ900" s="238"/>
    </row>
    <row r="901" spans="1:39" ht="12.75" x14ac:dyDescent="0.2">
      <c r="AL901" s="226"/>
      <c r="AM901" s="226"/>
    </row>
    <row r="902" spans="1:39" ht="12.75" x14ac:dyDescent="0.2">
      <c r="A902" s="236"/>
      <c r="B902" s="236"/>
      <c r="C902" s="236"/>
      <c r="D902" s="236"/>
      <c r="E902" s="237"/>
      <c r="G902" s="237"/>
      <c r="H902" s="237"/>
      <c r="I902" s="237"/>
      <c r="K902" s="237"/>
      <c r="N902" s="237"/>
      <c r="O902" s="237"/>
      <c r="P902" s="237"/>
      <c r="Q902" s="237"/>
      <c r="AL902" s="226"/>
      <c r="AM902" s="226"/>
    </row>
    <row r="903" spans="1:39" x14ac:dyDescent="0.25">
      <c r="AA903" s="237"/>
      <c r="AB903" s="237"/>
      <c r="AC903" s="237"/>
      <c r="AD903" s="237"/>
      <c r="AE903" s="237"/>
      <c r="AF903" s="237"/>
      <c r="AG903" s="237"/>
      <c r="AH903" s="237"/>
      <c r="AJ903" s="238"/>
    </row>
    <row r="904" spans="1:39" ht="12.75" x14ac:dyDescent="0.2">
      <c r="AL904" s="226"/>
      <c r="AM904" s="226"/>
    </row>
    <row r="905" spans="1:39" ht="12.75" x14ac:dyDescent="0.2">
      <c r="A905" s="236"/>
      <c r="B905" s="236"/>
      <c r="C905" s="236"/>
      <c r="D905" s="236"/>
      <c r="E905" s="237"/>
      <c r="G905" s="237"/>
      <c r="H905" s="237"/>
      <c r="I905" s="237"/>
      <c r="K905" s="237"/>
      <c r="N905" s="237"/>
      <c r="O905" s="237"/>
      <c r="P905" s="237"/>
      <c r="Q905" s="237"/>
      <c r="AL905" s="226"/>
      <c r="AM905" s="226"/>
    </row>
    <row r="906" spans="1:39" x14ac:dyDescent="0.25">
      <c r="AA906" s="237"/>
      <c r="AB906" s="237"/>
      <c r="AC906" s="237"/>
      <c r="AD906" s="237"/>
      <c r="AE906" s="237"/>
      <c r="AF906" s="237"/>
      <c r="AG906" s="237"/>
      <c r="AH906" s="237"/>
      <c r="AJ906" s="238"/>
    </row>
    <row r="907" spans="1:39" ht="12.75" x14ac:dyDescent="0.2">
      <c r="AL907" s="226"/>
      <c r="AM907" s="226"/>
    </row>
    <row r="908" spans="1:39" ht="12.75" x14ac:dyDescent="0.2">
      <c r="A908" s="236"/>
      <c r="B908" s="236"/>
      <c r="C908" s="236"/>
      <c r="D908" s="236"/>
      <c r="E908" s="237"/>
      <c r="G908" s="237"/>
      <c r="H908" s="237"/>
      <c r="I908" s="237"/>
      <c r="K908" s="237"/>
      <c r="N908" s="237"/>
      <c r="O908" s="237"/>
      <c r="P908" s="237"/>
      <c r="Q908" s="237"/>
      <c r="AL908" s="226"/>
      <c r="AM908" s="226"/>
    </row>
    <row r="909" spans="1:39" x14ac:dyDescent="0.25">
      <c r="AA909" s="237"/>
      <c r="AB909" s="237"/>
      <c r="AC909" s="237"/>
      <c r="AD909" s="237"/>
      <c r="AE909" s="237"/>
      <c r="AF909" s="237"/>
      <c r="AG909" s="237"/>
      <c r="AH909" s="237"/>
      <c r="AJ909" s="238"/>
    </row>
    <row r="910" spans="1:39" ht="12.75" x14ac:dyDescent="0.2">
      <c r="AL910" s="226"/>
      <c r="AM910" s="226"/>
    </row>
    <row r="911" spans="1:39" ht="12.75" x14ac:dyDescent="0.2">
      <c r="A911" s="236"/>
      <c r="B911" s="236"/>
      <c r="C911" s="236"/>
      <c r="D911" s="236"/>
      <c r="E911" s="237"/>
      <c r="G911" s="237"/>
      <c r="H911" s="237"/>
      <c r="I911" s="237"/>
      <c r="K911" s="237"/>
      <c r="N911" s="237"/>
      <c r="O911" s="237"/>
      <c r="P911" s="237"/>
      <c r="Q911" s="237"/>
      <c r="AL911" s="226"/>
      <c r="AM911" s="226"/>
    </row>
    <row r="912" spans="1:39" x14ac:dyDescent="0.25">
      <c r="AA912" s="237"/>
      <c r="AB912" s="237"/>
      <c r="AC912" s="237"/>
      <c r="AD912" s="237"/>
      <c r="AE912" s="237"/>
      <c r="AF912" s="237"/>
      <c r="AG912" s="237"/>
      <c r="AH912" s="237"/>
      <c r="AJ912" s="238"/>
    </row>
    <row r="913" spans="1:39" x14ac:dyDescent="0.25">
      <c r="AA913" s="237"/>
      <c r="AB913" s="237"/>
      <c r="AC913" s="237"/>
      <c r="AD913" s="237"/>
      <c r="AE913" s="237"/>
      <c r="AF913" s="237"/>
      <c r="AG913" s="237"/>
      <c r="AH913" s="237"/>
      <c r="AJ913" s="238"/>
    </row>
    <row r="914" spans="1:39" x14ac:dyDescent="0.25">
      <c r="AA914" s="237"/>
      <c r="AB914" s="237"/>
      <c r="AC914" s="237"/>
      <c r="AD914" s="237"/>
      <c r="AE914" s="237"/>
      <c r="AF914" s="237"/>
      <c r="AG914" s="237"/>
      <c r="AH914" s="237"/>
      <c r="AJ914" s="238"/>
    </row>
    <row r="915" spans="1:39" x14ac:dyDescent="0.25">
      <c r="AA915" s="237"/>
      <c r="AB915" s="237"/>
      <c r="AC915" s="237"/>
      <c r="AD915" s="237"/>
      <c r="AE915" s="237"/>
      <c r="AF915" s="237"/>
      <c r="AG915" s="237"/>
      <c r="AH915" s="237"/>
      <c r="AJ915" s="238"/>
    </row>
    <row r="916" spans="1:39" x14ac:dyDescent="0.25">
      <c r="AA916" s="237"/>
      <c r="AB916" s="237"/>
      <c r="AC916" s="237"/>
      <c r="AD916" s="237"/>
      <c r="AE916" s="237"/>
      <c r="AF916" s="237"/>
      <c r="AG916" s="237"/>
      <c r="AH916" s="237"/>
      <c r="AJ916" s="238"/>
    </row>
    <row r="917" spans="1:39" x14ac:dyDescent="0.25">
      <c r="AA917" s="237"/>
      <c r="AB917" s="237"/>
      <c r="AC917" s="237"/>
      <c r="AD917" s="237"/>
      <c r="AE917" s="237"/>
      <c r="AF917" s="237"/>
      <c r="AG917" s="237"/>
      <c r="AH917" s="237"/>
      <c r="AJ917" s="238"/>
    </row>
    <row r="918" spans="1:39" x14ac:dyDescent="0.25">
      <c r="AA918" s="237"/>
      <c r="AB918" s="237"/>
      <c r="AC918" s="237"/>
      <c r="AD918" s="237"/>
      <c r="AE918" s="237"/>
      <c r="AF918" s="237"/>
      <c r="AG918" s="237"/>
      <c r="AH918" s="237"/>
      <c r="AJ918" s="238"/>
    </row>
    <row r="919" spans="1:39" x14ac:dyDescent="0.25">
      <c r="AA919" s="237"/>
      <c r="AB919" s="237"/>
      <c r="AC919" s="237"/>
      <c r="AD919" s="237"/>
      <c r="AE919" s="237"/>
      <c r="AF919" s="237"/>
      <c r="AG919" s="237"/>
      <c r="AH919" s="237"/>
      <c r="AJ919" s="238"/>
    </row>
    <row r="920" spans="1:39" ht="12.75" x14ac:dyDescent="0.2">
      <c r="AL920" s="226"/>
      <c r="AM920" s="226"/>
    </row>
    <row r="921" spans="1:39" ht="12.75" x14ac:dyDescent="0.2">
      <c r="A921" s="236"/>
      <c r="B921" s="236"/>
      <c r="C921" s="236"/>
      <c r="D921" s="236"/>
      <c r="E921" s="237"/>
      <c r="G921" s="237"/>
      <c r="H921" s="237"/>
      <c r="I921" s="237"/>
      <c r="K921" s="237"/>
      <c r="N921" s="237"/>
      <c r="O921" s="237"/>
      <c r="P921" s="237"/>
      <c r="Q921" s="237"/>
      <c r="AL921" s="226"/>
      <c r="AM921" s="226"/>
    </row>
    <row r="922" spans="1:39" x14ac:dyDescent="0.25">
      <c r="AA922" s="237"/>
      <c r="AB922" s="237"/>
      <c r="AC922" s="237"/>
      <c r="AD922" s="237"/>
      <c r="AE922" s="237"/>
      <c r="AF922" s="237"/>
      <c r="AG922" s="237"/>
      <c r="AH922" s="237"/>
      <c r="AJ922" s="238"/>
    </row>
    <row r="923" spans="1:39" x14ac:dyDescent="0.25">
      <c r="AA923" s="237"/>
      <c r="AB923" s="237"/>
      <c r="AC923" s="237"/>
      <c r="AD923" s="237"/>
      <c r="AE923" s="237"/>
      <c r="AF923" s="237"/>
      <c r="AG923" s="237"/>
      <c r="AH923" s="237"/>
      <c r="AJ923" s="238"/>
    </row>
    <row r="924" spans="1:39" x14ac:dyDescent="0.25">
      <c r="AA924" s="237"/>
      <c r="AB924" s="237"/>
      <c r="AC924" s="237"/>
      <c r="AD924" s="237"/>
      <c r="AE924" s="237"/>
      <c r="AF924" s="237"/>
      <c r="AG924" s="237"/>
      <c r="AH924" s="237"/>
      <c r="AJ924" s="238"/>
    </row>
    <row r="925" spans="1:39" x14ac:dyDescent="0.25">
      <c r="AA925" s="237"/>
      <c r="AB925" s="237"/>
      <c r="AC925" s="237"/>
      <c r="AD925" s="237"/>
      <c r="AE925" s="237"/>
      <c r="AF925" s="237"/>
      <c r="AG925" s="237"/>
      <c r="AH925" s="237"/>
      <c r="AJ925" s="238"/>
    </row>
    <row r="926" spans="1:39" x14ac:dyDescent="0.25">
      <c r="AA926" s="237"/>
      <c r="AB926" s="237"/>
      <c r="AC926" s="237"/>
      <c r="AD926" s="237"/>
      <c r="AE926" s="237"/>
      <c r="AF926" s="237"/>
      <c r="AG926" s="237"/>
      <c r="AH926" s="237"/>
      <c r="AJ926" s="238"/>
    </row>
    <row r="927" spans="1:39" x14ac:dyDescent="0.25">
      <c r="AA927" s="237"/>
      <c r="AB927" s="237"/>
      <c r="AC927" s="237"/>
      <c r="AD927" s="237"/>
      <c r="AE927" s="237"/>
      <c r="AF927" s="237"/>
      <c r="AG927" s="237"/>
      <c r="AH927" s="237"/>
      <c r="AJ927" s="238"/>
    </row>
    <row r="928" spans="1:39" x14ac:dyDescent="0.25">
      <c r="AA928" s="237"/>
      <c r="AB928" s="237"/>
      <c r="AC928" s="237"/>
      <c r="AD928" s="237"/>
      <c r="AE928" s="237"/>
      <c r="AF928" s="237"/>
      <c r="AG928" s="237"/>
      <c r="AH928" s="237"/>
      <c r="AJ928" s="238"/>
    </row>
    <row r="929" spans="1:39" x14ac:dyDescent="0.25">
      <c r="AA929" s="237"/>
      <c r="AB929" s="237"/>
      <c r="AC929" s="237"/>
      <c r="AD929" s="237"/>
      <c r="AE929" s="237"/>
      <c r="AF929" s="237"/>
      <c r="AG929" s="237"/>
      <c r="AH929" s="237"/>
      <c r="AJ929" s="238"/>
    </row>
    <row r="930" spans="1:39" x14ac:dyDescent="0.25">
      <c r="AA930" s="237"/>
      <c r="AB930" s="237"/>
      <c r="AC930" s="237"/>
      <c r="AD930" s="237"/>
      <c r="AE930" s="237"/>
      <c r="AF930" s="237"/>
      <c r="AG930" s="237"/>
      <c r="AH930" s="237"/>
      <c r="AJ930" s="238"/>
    </row>
    <row r="931" spans="1:39" x14ac:dyDescent="0.25">
      <c r="AA931" s="237"/>
      <c r="AB931" s="237"/>
      <c r="AC931" s="237"/>
      <c r="AD931" s="237"/>
      <c r="AE931" s="237"/>
      <c r="AF931" s="237"/>
      <c r="AG931" s="237"/>
      <c r="AH931" s="237"/>
      <c r="AJ931" s="238"/>
    </row>
    <row r="932" spans="1:39" x14ac:dyDescent="0.25">
      <c r="AA932" s="237"/>
      <c r="AB932" s="237"/>
      <c r="AC932" s="237"/>
      <c r="AD932" s="237"/>
      <c r="AE932" s="237"/>
      <c r="AF932" s="237"/>
      <c r="AG932" s="237"/>
      <c r="AH932" s="237"/>
      <c r="AJ932" s="238"/>
    </row>
    <row r="933" spans="1:39" x14ac:dyDescent="0.25">
      <c r="AA933" s="237"/>
      <c r="AB933" s="237"/>
      <c r="AC933" s="237"/>
      <c r="AD933" s="237"/>
      <c r="AE933" s="237"/>
      <c r="AF933" s="237"/>
      <c r="AG933" s="237"/>
      <c r="AH933" s="237"/>
      <c r="AJ933" s="238"/>
    </row>
    <row r="934" spans="1:39" x14ac:dyDescent="0.25">
      <c r="AA934" s="237"/>
      <c r="AB934" s="237"/>
      <c r="AC934" s="237"/>
      <c r="AD934" s="237"/>
      <c r="AE934" s="237"/>
      <c r="AF934" s="237"/>
      <c r="AG934" s="237"/>
      <c r="AH934" s="237"/>
      <c r="AJ934" s="238"/>
    </row>
    <row r="935" spans="1:39" x14ac:dyDescent="0.25">
      <c r="AA935" s="237"/>
      <c r="AB935" s="237"/>
      <c r="AC935" s="237"/>
      <c r="AD935" s="237"/>
      <c r="AE935" s="237"/>
      <c r="AF935" s="237"/>
      <c r="AG935" s="237"/>
      <c r="AH935" s="237"/>
      <c r="AJ935" s="238"/>
    </row>
    <row r="936" spans="1:39" x14ac:dyDescent="0.25">
      <c r="AA936" s="237"/>
      <c r="AB936" s="237"/>
      <c r="AC936" s="237"/>
      <c r="AD936" s="237"/>
      <c r="AE936" s="237"/>
      <c r="AF936" s="237"/>
      <c r="AG936" s="237"/>
      <c r="AH936" s="237"/>
      <c r="AJ936" s="238"/>
    </row>
    <row r="937" spans="1:39" ht="12.75" x14ac:dyDescent="0.2">
      <c r="AL937" s="226"/>
      <c r="AM937" s="226"/>
    </row>
    <row r="938" spans="1:39" ht="12.75" x14ac:dyDescent="0.2">
      <c r="A938" s="236"/>
      <c r="B938" s="236"/>
      <c r="C938" s="236"/>
      <c r="D938" s="236"/>
      <c r="E938" s="237"/>
      <c r="G938" s="237"/>
      <c r="H938" s="237"/>
      <c r="I938" s="237"/>
      <c r="K938" s="237"/>
      <c r="N938" s="237"/>
      <c r="O938" s="237"/>
      <c r="P938" s="237"/>
      <c r="Q938" s="237"/>
      <c r="AL938" s="226"/>
      <c r="AM938" s="226"/>
    </row>
    <row r="939" spans="1:39" x14ac:dyDescent="0.25">
      <c r="AA939" s="237"/>
      <c r="AB939" s="237"/>
      <c r="AC939" s="237"/>
      <c r="AD939" s="237"/>
      <c r="AE939" s="237"/>
      <c r="AF939" s="237"/>
      <c r="AG939" s="237"/>
      <c r="AH939" s="237"/>
      <c r="AJ939" s="238"/>
    </row>
    <row r="940" spans="1:39" x14ac:dyDescent="0.25">
      <c r="AA940" s="237"/>
      <c r="AB940" s="237"/>
      <c r="AC940" s="237"/>
      <c r="AD940" s="237"/>
      <c r="AE940" s="237"/>
      <c r="AF940" s="237"/>
      <c r="AG940" s="237"/>
      <c r="AH940" s="237"/>
      <c r="AJ940" s="238"/>
    </row>
    <row r="941" spans="1:39" ht="12.75" x14ac:dyDescent="0.2">
      <c r="AL941" s="226"/>
      <c r="AM941" s="226"/>
    </row>
    <row r="942" spans="1:39" ht="12.75" x14ac:dyDescent="0.2">
      <c r="A942" s="236"/>
      <c r="B942" s="236"/>
      <c r="C942" s="236"/>
      <c r="D942" s="236"/>
      <c r="E942" s="237"/>
      <c r="G942" s="237"/>
      <c r="H942" s="237"/>
      <c r="I942" s="237"/>
      <c r="K942" s="237"/>
      <c r="N942" s="237"/>
      <c r="O942" s="237"/>
      <c r="P942" s="237"/>
      <c r="Q942" s="237"/>
      <c r="AL942" s="226"/>
      <c r="AM942" s="226"/>
    </row>
    <row r="943" spans="1:39" x14ac:dyDescent="0.25">
      <c r="AA943" s="237"/>
      <c r="AB943" s="237"/>
      <c r="AC943" s="237"/>
      <c r="AD943" s="237"/>
      <c r="AE943" s="237"/>
      <c r="AF943" s="237"/>
      <c r="AG943" s="237"/>
      <c r="AH943" s="237"/>
      <c r="AJ943" s="238"/>
    </row>
    <row r="944" spans="1:39" x14ac:dyDescent="0.25">
      <c r="AA944" s="237"/>
      <c r="AB944" s="237"/>
      <c r="AC944" s="237"/>
      <c r="AD944" s="237"/>
      <c r="AE944" s="237"/>
      <c r="AF944" s="237"/>
      <c r="AG944" s="237"/>
      <c r="AH944" s="237"/>
      <c r="AJ944" s="238"/>
    </row>
    <row r="945" spans="1:39" x14ac:dyDescent="0.25">
      <c r="AA945" s="237"/>
      <c r="AB945" s="237"/>
      <c r="AC945" s="237"/>
      <c r="AD945" s="237"/>
      <c r="AE945" s="237"/>
      <c r="AF945" s="237"/>
      <c r="AG945" s="237"/>
      <c r="AH945" s="237"/>
      <c r="AJ945" s="238"/>
    </row>
    <row r="946" spans="1:39" x14ac:dyDescent="0.25">
      <c r="AA946" s="237"/>
      <c r="AB946" s="237"/>
      <c r="AC946" s="237"/>
      <c r="AD946" s="237"/>
      <c r="AE946" s="237"/>
      <c r="AF946" s="237"/>
      <c r="AG946" s="237"/>
      <c r="AH946" s="237"/>
      <c r="AJ946" s="238"/>
    </row>
    <row r="947" spans="1:39" x14ac:dyDescent="0.25">
      <c r="AA947" s="237"/>
      <c r="AB947" s="237"/>
      <c r="AC947" s="237"/>
      <c r="AD947" s="237"/>
      <c r="AE947" s="237"/>
      <c r="AF947" s="237"/>
      <c r="AG947" s="237"/>
      <c r="AH947" s="237"/>
      <c r="AJ947" s="238"/>
    </row>
    <row r="948" spans="1:39" ht="12.75" x14ac:dyDescent="0.2">
      <c r="AL948" s="226"/>
      <c r="AM948" s="226"/>
    </row>
    <row r="949" spans="1:39" ht="12.75" x14ac:dyDescent="0.2">
      <c r="A949" s="236"/>
      <c r="B949" s="236"/>
      <c r="C949" s="236"/>
      <c r="D949" s="236"/>
      <c r="E949" s="237"/>
      <c r="G949" s="237"/>
      <c r="H949" s="237"/>
      <c r="I949" s="237"/>
      <c r="K949" s="237"/>
      <c r="N949" s="237"/>
      <c r="O949" s="237"/>
      <c r="P949" s="237"/>
      <c r="Q949" s="237"/>
      <c r="AL949" s="226"/>
      <c r="AM949" s="226"/>
    </row>
    <row r="950" spans="1:39" x14ac:dyDescent="0.25">
      <c r="AA950" s="237"/>
      <c r="AB950" s="237"/>
      <c r="AC950" s="237"/>
      <c r="AD950" s="237"/>
      <c r="AE950" s="237"/>
      <c r="AF950" s="237"/>
      <c r="AG950" s="237"/>
      <c r="AH950" s="237"/>
      <c r="AJ950" s="238"/>
    </row>
    <row r="951" spans="1:39" x14ac:dyDescent="0.25">
      <c r="AA951" s="237"/>
      <c r="AB951" s="237"/>
      <c r="AC951" s="237"/>
      <c r="AD951" s="237"/>
      <c r="AE951" s="237"/>
      <c r="AF951" s="237"/>
      <c r="AG951" s="237"/>
      <c r="AH951" s="237"/>
      <c r="AJ951" s="238"/>
    </row>
    <row r="952" spans="1:39" x14ac:dyDescent="0.25">
      <c r="AA952" s="237"/>
      <c r="AB952" s="237"/>
      <c r="AC952" s="237"/>
      <c r="AD952" s="237"/>
      <c r="AE952" s="237"/>
      <c r="AF952" s="237"/>
      <c r="AG952" s="237"/>
      <c r="AH952" s="237"/>
      <c r="AJ952" s="238"/>
    </row>
    <row r="953" spans="1:39" ht="12.75" x14ac:dyDescent="0.2">
      <c r="AL953" s="226"/>
      <c r="AM953" s="226"/>
    </row>
    <row r="954" spans="1:39" ht="12.75" x14ac:dyDescent="0.2">
      <c r="A954" s="236"/>
      <c r="B954" s="236"/>
      <c r="C954" s="236"/>
      <c r="D954" s="236"/>
      <c r="E954" s="237"/>
      <c r="G954" s="237"/>
      <c r="H954" s="237"/>
      <c r="I954" s="237"/>
      <c r="K954" s="237"/>
      <c r="N954" s="237"/>
      <c r="O954" s="237"/>
      <c r="P954" s="237"/>
      <c r="Q954" s="237"/>
      <c r="AL954" s="226"/>
      <c r="AM954" s="226"/>
    </row>
    <row r="955" spans="1:39" x14ac:dyDescent="0.25">
      <c r="AA955" s="237"/>
      <c r="AB955" s="237"/>
      <c r="AC955" s="237"/>
      <c r="AD955" s="237"/>
      <c r="AE955" s="237"/>
      <c r="AF955" s="237"/>
      <c r="AG955" s="237"/>
      <c r="AH955" s="237"/>
      <c r="AJ955" s="238"/>
    </row>
    <row r="956" spans="1:39" ht="12.75" x14ac:dyDescent="0.2">
      <c r="AL956" s="226"/>
      <c r="AM956" s="226"/>
    </row>
    <row r="957" spans="1:39" ht="12.75" x14ac:dyDescent="0.2">
      <c r="A957" s="236"/>
      <c r="B957" s="236"/>
      <c r="C957" s="236"/>
      <c r="D957" s="236"/>
      <c r="E957" s="237"/>
      <c r="G957" s="237"/>
      <c r="H957" s="237"/>
      <c r="I957" s="237"/>
      <c r="K957" s="237"/>
      <c r="N957" s="237"/>
      <c r="O957" s="237"/>
      <c r="P957" s="237"/>
      <c r="Q957" s="237"/>
      <c r="AL957" s="226"/>
      <c r="AM957" s="226"/>
    </row>
    <row r="958" spans="1:39" x14ac:dyDescent="0.25">
      <c r="AA958" s="237"/>
      <c r="AB958" s="237"/>
      <c r="AC958" s="237"/>
      <c r="AD958" s="237"/>
      <c r="AE958" s="237"/>
      <c r="AF958" s="237"/>
      <c r="AG958" s="237"/>
      <c r="AH958" s="237"/>
      <c r="AJ958" s="238"/>
    </row>
    <row r="959" spans="1:39" ht="12.75" x14ac:dyDescent="0.2">
      <c r="AL959" s="226"/>
      <c r="AM959" s="226"/>
    </row>
    <row r="960" spans="1:39" ht="12.75" x14ac:dyDescent="0.2">
      <c r="A960" s="236"/>
      <c r="B960" s="236"/>
      <c r="C960" s="236"/>
      <c r="D960" s="236"/>
      <c r="E960" s="237"/>
      <c r="G960" s="237"/>
      <c r="H960" s="237"/>
      <c r="I960" s="237"/>
      <c r="K960" s="237"/>
      <c r="N960" s="237"/>
      <c r="O960" s="237"/>
      <c r="P960" s="237"/>
      <c r="Q960" s="237"/>
      <c r="AL960" s="226"/>
      <c r="AM960" s="226"/>
    </row>
    <row r="961" spans="1:39" x14ac:dyDescent="0.25">
      <c r="AA961" s="237"/>
      <c r="AB961" s="237"/>
      <c r="AC961" s="237"/>
      <c r="AD961" s="237"/>
      <c r="AE961" s="237"/>
      <c r="AF961" s="237"/>
      <c r="AG961" s="237"/>
      <c r="AH961" s="237"/>
      <c r="AJ961" s="238"/>
    </row>
    <row r="962" spans="1:39" ht="12.75" x14ac:dyDescent="0.2">
      <c r="AL962" s="226"/>
      <c r="AM962" s="226"/>
    </row>
    <row r="963" spans="1:39" ht="12.75" x14ac:dyDescent="0.2">
      <c r="A963" s="236"/>
      <c r="B963" s="236"/>
      <c r="C963" s="236"/>
      <c r="D963" s="236"/>
      <c r="E963" s="237"/>
      <c r="G963" s="237"/>
      <c r="H963" s="237"/>
      <c r="I963" s="237"/>
      <c r="K963" s="237"/>
      <c r="N963" s="237"/>
      <c r="O963" s="237"/>
      <c r="P963" s="237"/>
      <c r="Q963" s="237"/>
      <c r="AL963" s="226"/>
      <c r="AM963" s="226"/>
    </row>
    <row r="964" spans="1:39" x14ac:dyDescent="0.25">
      <c r="AA964" s="237"/>
      <c r="AB964" s="237"/>
      <c r="AC964" s="237"/>
      <c r="AD964" s="237"/>
      <c r="AE964" s="237"/>
      <c r="AF964" s="237"/>
      <c r="AG964" s="237"/>
      <c r="AH964" s="237"/>
      <c r="AJ964" s="238"/>
    </row>
    <row r="965" spans="1:39" x14ac:dyDescent="0.25">
      <c r="AA965" s="237"/>
      <c r="AB965" s="237"/>
      <c r="AC965" s="237"/>
      <c r="AD965" s="237"/>
      <c r="AE965" s="237"/>
      <c r="AF965" s="237"/>
      <c r="AG965" s="237"/>
      <c r="AH965" s="237"/>
      <c r="AJ965" s="238"/>
    </row>
    <row r="966" spans="1:39" x14ac:dyDescent="0.25">
      <c r="AA966" s="237"/>
      <c r="AB966" s="237"/>
      <c r="AC966" s="237"/>
      <c r="AD966" s="237"/>
      <c r="AE966" s="237"/>
      <c r="AF966" s="237"/>
      <c r="AG966" s="237"/>
      <c r="AH966" s="237"/>
      <c r="AJ966" s="238"/>
    </row>
    <row r="967" spans="1:39" x14ac:dyDescent="0.25">
      <c r="AA967" s="237"/>
      <c r="AB967" s="237"/>
      <c r="AC967" s="237"/>
      <c r="AD967" s="237"/>
      <c r="AE967" s="237"/>
      <c r="AF967" s="237"/>
      <c r="AG967" s="237"/>
      <c r="AH967" s="237"/>
      <c r="AJ967" s="238"/>
    </row>
    <row r="968" spans="1:39" ht="12.75" x14ac:dyDescent="0.2">
      <c r="AL968" s="226"/>
      <c r="AM968" s="226"/>
    </row>
    <row r="969" spans="1:39" ht="12.75" x14ac:dyDescent="0.2">
      <c r="A969" s="236"/>
      <c r="B969" s="236"/>
      <c r="C969" s="236"/>
      <c r="D969" s="236"/>
      <c r="E969" s="237"/>
      <c r="G969" s="237"/>
      <c r="H969" s="237"/>
      <c r="I969" s="237"/>
      <c r="K969" s="237"/>
      <c r="N969" s="237"/>
      <c r="O969" s="237"/>
      <c r="P969" s="237"/>
      <c r="Q969" s="237"/>
      <c r="AL969" s="226"/>
      <c r="AM969" s="226"/>
    </row>
    <row r="970" spans="1:39" x14ac:dyDescent="0.25">
      <c r="AA970" s="237"/>
      <c r="AB970" s="237"/>
      <c r="AC970" s="237"/>
      <c r="AD970" s="237"/>
      <c r="AE970" s="237"/>
      <c r="AF970" s="237"/>
      <c r="AG970" s="237"/>
      <c r="AH970" s="237"/>
      <c r="AJ970" s="238"/>
    </row>
    <row r="971" spans="1:39" x14ac:dyDescent="0.25">
      <c r="AA971" s="237"/>
      <c r="AB971" s="237"/>
      <c r="AC971" s="237"/>
      <c r="AD971" s="237"/>
      <c r="AE971" s="237"/>
      <c r="AF971" s="237"/>
      <c r="AG971" s="237"/>
      <c r="AH971" s="237"/>
      <c r="AJ971" s="238"/>
    </row>
    <row r="972" spans="1:39" x14ac:dyDescent="0.25">
      <c r="AA972" s="237"/>
      <c r="AB972" s="237"/>
      <c r="AC972" s="237"/>
      <c r="AD972" s="237"/>
      <c r="AE972" s="237"/>
      <c r="AF972" s="237"/>
      <c r="AG972" s="237"/>
      <c r="AH972" s="237"/>
      <c r="AJ972" s="238"/>
    </row>
    <row r="973" spans="1:39" x14ac:dyDescent="0.25">
      <c r="AA973" s="237"/>
      <c r="AB973" s="237"/>
      <c r="AC973" s="237"/>
      <c r="AD973" s="237"/>
      <c r="AE973" s="237"/>
      <c r="AF973" s="237"/>
      <c r="AG973" s="237"/>
      <c r="AH973" s="237"/>
      <c r="AJ973" s="238"/>
    </row>
    <row r="974" spans="1:39" x14ac:dyDescent="0.25">
      <c r="AA974" s="237"/>
      <c r="AB974" s="237"/>
      <c r="AC974" s="237"/>
      <c r="AD974" s="237"/>
      <c r="AE974" s="237"/>
      <c r="AF974" s="237"/>
      <c r="AG974" s="237"/>
      <c r="AH974" s="237"/>
      <c r="AJ974" s="238"/>
    </row>
    <row r="975" spans="1:39" x14ac:dyDescent="0.25">
      <c r="AA975" s="237"/>
      <c r="AB975" s="237"/>
      <c r="AC975" s="237"/>
      <c r="AD975" s="237"/>
      <c r="AE975" s="237"/>
      <c r="AF975" s="237"/>
      <c r="AG975" s="237"/>
      <c r="AH975" s="237"/>
      <c r="AJ975" s="238"/>
    </row>
    <row r="976" spans="1:39" x14ac:dyDescent="0.25">
      <c r="AA976" s="237"/>
      <c r="AB976" s="237"/>
      <c r="AC976" s="237"/>
      <c r="AD976" s="237"/>
      <c r="AE976" s="237"/>
      <c r="AF976" s="237"/>
      <c r="AG976" s="237"/>
      <c r="AH976" s="237"/>
      <c r="AJ976" s="238"/>
    </row>
    <row r="977" spans="1:39" x14ac:dyDescent="0.25">
      <c r="AA977" s="237"/>
      <c r="AB977" s="237"/>
      <c r="AC977" s="237"/>
      <c r="AD977" s="237"/>
      <c r="AE977" s="237"/>
      <c r="AF977" s="237"/>
      <c r="AG977" s="237"/>
      <c r="AH977" s="237"/>
      <c r="AJ977" s="238"/>
    </row>
    <row r="978" spans="1:39" ht="12.75" x14ac:dyDescent="0.2">
      <c r="AL978" s="226"/>
      <c r="AM978" s="226"/>
    </row>
    <row r="979" spans="1:39" ht="12.75" x14ac:dyDescent="0.2">
      <c r="A979" s="236"/>
      <c r="B979" s="236"/>
      <c r="C979" s="236"/>
      <c r="D979" s="236"/>
      <c r="E979" s="237"/>
      <c r="G979" s="237"/>
      <c r="H979" s="237"/>
      <c r="I979" s="237"/>
      <c r="K979" s="237"/>
      <c r="N979" s="237"/>
      <c r="O979" s="237"/>
      <c r="P979" s="237"/>
      <c r="Q979" s="237"/>
      <c r="AL979" s="226"/>
      <c r="AM979" s="226"/>
    </row>
    <row r="980" spans="1:39" x14ac:dyDescent="0.25">
      <c r="AA980" s="237"/>
      <c r="AB980" s="237"/>
      <c r="AC980" s="237"/>
      <c r="AD980" s="237"/>
      <c r="AE980" s="237"/>
      <c r="AF980" s="237"/>
      <c r="AG980" s="237"/>
      <c r="AH980" s="237"/>
      <c r="AJ980" s="238"/>
    </row>
    <row r="981" spans="1:39" ht="12.75" x14ac:dyDescent="0.2">
      <c r="AL981" s="226"/>
      <c r="AM981" s="226"/>
    </row>
    <row r="982" spans="1:39" ht="12.75" x14ac:dyDescent="0.2">
      <c r="A982" s="236"/>
      <c r="B982" s="236"/>
      <c r="C982" s="236"/>
      <c r="D982" s="236"/>
      <c r="E982" s="237"/>
      <c r="G982" s="237"/>
      <c r="H982" s="237"/>
      <c r="I982" s="237"/>
      <c r="K982" s="237"/>
      <c r="N982" s="237"/>
      <c r="O982" s="237"/>
      <c r="P982" s="237"/>
      <c r="Q982" s="237"/>
      <c r="AL982" s="226"/>
      <c r="AM982" s="226"/>
    </row>
    <row r="983" spans="1:39" x14ac:dyDescent="0.25">
      <c r="AA983" s="237"/>
      <c r="AB983" s="237"/>
      <c r="AC983" s="237"/>
      <c r="AD983" s="237"/>
      <c r="AE983" s="237"/>
      <c r="AF983" s="237"/>
      <c r="AG983" s="237"/>
      <c r="AH983" s="237"/>
      <c r="AJ983" s="238"/>
    </row>
    <row r="984" spans="1:39" ht="12.75" x14ac:dyDescent="0.2">
      <c r="AL984" s="226"/>
      <c r="AM984" s="226"/>
    </row>
    <row r="985" spans="1:39" ht="12.75" x14ac:dyDescent="0.2">
      <c r="A985" s="236"/>
      <c r="B985" s="236"/>
      <c r="C985" s="236"/>
      <c r="D985" s="236"/>
      <c r="E985" s="237"/>
      <c r="G985" s="237"/>
      <c r="H985" s="237"/>
      <c r="I985" s="237"/>
      <c r="K985" s="237"/>
      <c r="N985" s="237"/>
      <c r="O985" s="237"/>
      <c r="P985" s="237"/>
      <c r="Q985" s="237"/>
      <c r="AL985" s="226"/>
      <c r="AM985" s="226"/>
    </row>
    <row r="986" spans="1:39" x14ac:dyDescent="0.25">
      <c r="AA986" s="237"/>
      <c r="AB986" s="237"/>
      <c r="AC986" s="237"/>
      <c r="AD986" s="237"/>
      <c r="AE986" s="237"/>
      <c r="AF986" s="237"/>
      <c r="AG986" s="237"/>
      <c r="AH986" s="237"/>
      <c r="AJ986" s="238"/>
    </row>
    <row r="987" spans="1:39" x14ac:dyDescent="0.25">
      <c r="AA987" s="237"/>
      <c r="AB987" s="237"/>
      <c r="AC987" s="237"/>
      <c r="AD987" s="237"/>
      <c r="AE987" s="237"/>
      <c r="AF987" s="237"/>
      <c r="AG987" s="237"/>
      <c r="AH987" s="237"/>
      <c r="AJ987" s="238"/>
    </row>
    <row r="988" spans="1:39" ht="12.75" x14ac:dyDescent="0.2">
      <c r="AL988" s="226"/>
      <c r="AM988" s="226"/>
    </row>
    <row r="989" spans="1:39" ht="12.75" x14ac:dyDescent="0.2">
      <c r="A989" s="236"/>
      <c r="B989" s="236"/>
      <c r="C989" s="236"/>
      <c r="D989" s="236"/>
      <c r="E989" s="237"/>
      <c r="G989" s="237"/>
      <c r="H989" s="237"/>
      <c r="I989" s="237"/>
      <c r="K989" s="237"/>
      <c r="N989" s="237"/>
      <c r="O989" s="237"/>
      <c r="P989" s="237"/>
      <c r="Q989" s="237"/>
      <c r="AL989" s="226"/>
      <c r="AM989" s="226"/>
    </row>
    <row r="990" spans="1:39" x14ac:dyDescent="0.25">
      <c r="AA990" s="237"/>
      <c r="AB990" s="237"/>
      <c r="AC990" s="237"/>
      <c r="AD990" s="237"/>
      <c r="AE990" s="237"/>
      <c r="AF990" s="237"/>
      <c r="AG990" s="237"/>
      <c r="AH990" s="237"/>
      <c r="AJ990" s="238"/>
    </row>
    <row r="991" spans="1:39" ht="12.75" x14ac:dyDescent="0.2">
      <c r="AL991" s="226"/>
      <c r="AM991" s="226"/>
    </row>
    <row r="992" spans="1:39" ht="12.75" x14ac:dyDescent="0.2">
      <c r="A992" s="236"/>
      <c r="B992" s="236"/>
      <c r="C992" s="236"/>
      <c r="D992" s="236"/>
      <c r="E992" s="237"/>
      <c r="G992" s="237"/>
      <c r="H992" s="237"/>
      <c r="I992" s="237"/>
      <c r="K992" s="237"/>
      <c r="N992" s="237"/>
      <c r="O992" s="237"/>
      <c r="P992" s="237"/>
      <c r="Q992" s="237"/>
      <c r="AL992" s="226"/>
      <c r="AM992" s="226"/>
    </row>
    <row r="993" spans="1:39" x14ac:dyDescent="0.25">
      <c r="AA993" s="237"/>
      <c r="AB993" s="237"/>
      <c r="AC993" s="237"/>
      <c r="AD993" s="237"/>
      <c r="AE993" s="237"/>
      <c r="AF993" s="237"/>
      <c r="AG993" s="237"/>
      <c r="AH993" s="237"/>
      <c r="AJ993" s="238"/>
    </row>
    <row r="994" spans="1:39" x14ac:dyDescent="0.25">
      <c r="AA994" s="237"/>
      <c r="AB994" s="237"/>
      <c r="AC994" s="237"/>
      <c r="AD994" s="237"/>
      <c r="AE994" s="237"/>
      <c r="AF994" s="237"/>
      <c r="AG994" s="237"/>
      <c r="AH994" s="237"/>
      <c r="AJ994" s="238"/>
    </row>
    <row r="995" spans="1:39" ht="12.75" x14ac:dyDescent="0.2">
      <c r="AL995" s="226"/>
      <c r="AM995" s="226"/>
    </row>
    <row r="996" spans="1:39" ht="12.75" x14ac:dyDescent="0.2">
      <c r="A996" s="236"/>
      <c r="B996" s="236"/>
      <c r="C996" s="236"/>
      <c r="D996" s="236"/>
      <c r="E996" s="237"/>
      <c r="G996" s="237"/>
      <c r="H996" s="237"/>
      <c r="I996" s="237"/>
      <c r="K996" s="237"/>
      <c r="N996" s="237"/>
      <c r="O996" s="237"/>
      <c r="P996" s="237"/>
      <c r="Q996" s="237"/>
      <c r="AL996" s="226"/>
      <c r="AM996" s="226"/>
    </row>
    <row r="997" spans="1:39" x14ac:dyDescent="0.25">
      <c r="AA997" s="237"/>
      <c r="AB997" s="237"/>
      <c r="AC997" s="237"/>
      <c r="AD997" s="237"/>
      <c r="AE997" s="237"/>
      <c r="AF997" s="237"/>
      <c r="AG997" s="237"/>
      <c r="AH997" s="237"/>
      <c r="AJ997" s="238"/>
    </row>
    <row r="998" spans="1:39" x14ac:dyDescent="0.25">
      <c r="AA998" s="237"/>
      <c r="AB998" s="237"/>
      <c r="AC998" s="237"/>
      <c r="AD998" s="237"/>
      <c r="AE998" s="237"/>
      <c r="AF998" s="237"/>
      <c r="AG998" s="237"/>
      <c r="AH998" s="237"/>
      <c r="AJ998" s="238"/>
    </row>
    <row r="999" spans="1:39" x14ac:dyDescent="0.25">
      <c r="AA999" s="237"/>
      <c r="AB999" s="237"/>
      <c r="AC999" s="237"/>
      <c r="AD999" s="237"/>
      <c r="AE999" s="237"/>
      <c r="AF999" s="237"/>
      <c r="AG999" s="237"/>
      <c r="AH999" s="237"/>
      <c r="AJ999" s="238"/>
    </row>
    <row r="1000" spans="1:39" ht="12.75" x14ac:dyDescent="0.2">
      <c r="AL1000" s="226"/>
      <c r="AM1000" s="226"/>
    </row>
    <row r="1001" spans="1:39" ht="12.75" x14ac:dyDescent="0.2">
      <c r="A1001" s="236"/>
      <c r="B1001" s="236"/>
      <c r="C1001" s="236"/>
      <c r="D1001" s="236"/>
      <c r="E1001" s="237"/>
      <c r="G1001" s="237"/>
      <c r="H1001" s="237"/>
      <c r="I1001" s="237"/>
      <c r="K1001" s="237"/>
      <c r="N1001" s="237"/>
      <c r="O1001" s="237"/>
      <c r="P1001" s="237"/>
      <c r="Q1001" s="237"/>
      <c r="AL1001" s="226"/>
      <c r="AM1001" s="226"/>
    </row>
    <row r="1002" spans="1:39" x14ac:dyDescent="0.25">
      <c r="AA1002" s="237"/>
      <c r="AB1002" s="237"/>
      <c r="AC1002" s="237"/>
      <c r="AD1002" s="237"/>
      <c r="AE1002" s="237"/>
      <c r="AF1002" s="237"/>
      <c r="AG1002" s="237"/>
      <c r="AH1002" s="237"/>
      <c r="AJ1002" s="238"/>
    </row>
    <row r="1003" spans="1:39" x14ac:dyDescent="0.25">
      <c r="AA1003" s="237"/>
      <c r="AB1003" s="237"/>
      <c r="AC1003" s="237"/>
      <c r="AD1003" s="237"/>
      <c r="AE1003" s="237"/>
      <c r="AF1003" s="237"/>
      <c r="AG1003" s="237"/>
      <c r="AH1003" s="237"/>
      <c r="AJ1003" s="238"/>
    </row>
    <row r="1004" spans="1:39" x14ac:dyDescent="0.25">
      <c r="AA1004" s="237"/>
      <c r="AB1004" s="237"/>
      <c r="AC1004" s="237"/>
      <c r="AD1004" s="237"/>
      <c r="AE1004" s="237"/>
      <c r="AF1004" s="237"/>
      <c r="AG1004" s="237"/>
      <c r="AH1004" s="237"/>
      <c r="AJ1004" s="238"/>
    </row>
    <row r="1005" spans="1:39" ht="12.75" x14ac:dyDescent="0.2">
      <c r="AL1005" s="226"/>
      <c r="AM1005" s="226"/>
    </row>
    <row r="1006" spans="1:39" ht="12.75" x14ac:dyDescent="0.2">
      <c r="A1006" s="236"/>
      <c r="B1006" s="236"/>
      <c r="C1006" s="236"/>
      <c r="D1006" s="236"/>
      <c r="E1006" s="237"/>
      <c r="G1006" s="237"/>
      <c r="H1006" s="237"/>
      <c r="I1006" s="237"/>
      <c r="K1006" s="237"/>
      <c r="N1006" s="237"/>
      <c r="O1006" s="237"/>
      <c r="P1006" s="237"/>
      <c r="Q1006" s="237"/>
      <c r="AL1006" s="226"/>
      <c r="AM1006" s="226"/>
    </row>
    <row r="1007" spans="1:39" x14ac:dyDescent="0.25">
      <c r="AA1007" s="237"/>
      <c r="AB1007" s="237"/>
      <c r="AC1007" s="237"/>
      <c r="AD1007" s="237"/>
      <c r="AE1007" s="237"/>
      <c r="AF1007" s="237"/>
      <c r="AG1007" s="237"/>
      <c r="AH1007" s="237"/>
      <c r="AJ1007" s="238"/>
    </row>
    <row r="1008" spans="1:39" ht="12.75" x14ac:dyDescent="0.2">
      <c r="AL1008" s="226"/>
      <c r="AM1008" s="226"/>
    </row>
    <row r="1009" spans="1:39" ht="12.75" x14ac:dyDescent="0.2">
      <c r="A1009" s="236"/>
      <c r="B1009" s="236"/>
      <c r="C1009" s="236"/>
      <c r="D1009" s="236"/>
      <c r="E1009" s="237"/>
      <c r="G1009" s="237"/>
      <c r="H1009" s="237"/>
      <c r="I1009" s="237"/>
      <c r="K1009" s="237"/>
      <c r="N1009" s="237"/>
      <c r="O1009" s="237"/>
      <c r="P1009" s="237"/>
      <c r="Q1009" s="237"/>
      <c r="AL1009" s="226"/>
      <c r="AM1009" s="226"/>
    </row>
    <row r="1010" spans="1:39" x14ac:dyDescent="0.25">
      <c r="AA1010" s="237"/>
      <c r="AB1010" s="237"/>
      <c r="AC1010" s="237"/>
      <c r="AD1010" s="237"/>
      <c r="AE1010" s="237"/>
      <c r="AF1010" s="237"/>
      <c r="AG1010" s="237"/>
      <c r="AH1010" s="237"/>
      <c r="AJ1010" s="238"/>
    </row>
    <row r="1011" spans="1:39" ht="12.75" x14ac:dyDescent="0.2">
      <c r="AL1011" s="226"/>
      <c r="AM1011" s="226"/>
    </row>
    <row r="1012" spans="1:39" ht="12.75" x14ac:dyDescent="0.2">
      <c r="A1012" s="236"/>
      <c r="B1012" s="236"/>
      <c r="C1012" s="236"/>
      <c r="D1012" s="236"/>
      <c r="E1012" s="237"/>
      <c r="G1012" s="237"/>
      <c r="H1012" s="237"/>
      <c r="I1012" s="237"/>
      <c r="K1012" s="237"/>
      <c r="N1012" s="237"/>
      <c r="O1012" s="237"/>
      <c r="P1012" s="237"/>
      <c r="Q1012" s="237"/>
      <c r="AL1012" s="226"/>
      <c r="AM1012" s="226"/>
    </row>
    <row r="1013" spans="1:39" x14ac:dyDescent="0.25">
      <c r="AA1013" s="237"/>
      <c r="AB1013" s="237"/>
      <c r="AC1013" s="237"/>
      <c r="AD1013" s="237"/>
      <c r="AE1013" s="237"/>
      <c r="AF1013" s="237"/>
      <c r="AG1013" s="237"/>
      <c r="AH1013" s="237"/>
      <c r="AJ1013" s="238"/>
    </row>
    <row r="1014" spans="1:39" ht="12.75" x14ac:dyDescent="0.2">
      <c r="AL1014" s="226"/>
      <c r="AM1014" s="226"/>
    </row>
    <row r="1015" spans="1:39" ht="12.75" x14ac:dyDescent="0.2">
      <c r="A1015" s="236"/>
      <c r="B1015" s="236"/>
      <c r="C1015" s="236"/>
      <c r="D1015" s="236"/>
      <c r="E1015" s="237"/>
      <c r="G1015" s="237"/>
      <c r="H1015" s="237"/>
      <c r="I1015" s="237"/>
      <c r="K1015" s="237"/>
      <c r="N1015" s="237"/>
      <c r="O1015" s="237"/>
      <c r="P1015" s="237"/>
      <c r="Q1015" s="237"/>
      <c r="AL1015" s="226"/>
      <c r="AM1015" s="226"/>
    </row>
    <row r="1016" spans="1:39" x14ac:dyDescent="0.25">
      <c r="AA1016" s="237"/>
      <c r="AB1016" s="237"/>
      <c r="AC1016" s="237"/>
      <c r="AD1016" s="237"/>
      <c r="AE1016" s="237"/>
      <c r="AF1016" s="237"/>
      <c r="AG1016" s="237"/>
      <c r="AH1016" s="237"/>
      <c r="AJ1016" s="238"/>
    </row>
    <row r="1017" spans="1:39" x14ac:dyDescent="0.25">
      <c r="AA1017" s="237"/>
      <c r="AB1017" s="237"/>
      <c r="AC1017" s="237"/>
      <c r="AD1017" s="237"/>
      <c r="AE1017" s="237"/>
      <c r="AF1017" s="237"/>
      <c r="AG1017" s="237"/>
      <c r="AH1017" s="237"/>
      <c r="AJ1017" s="238"/>
    </row>
    <row r="1018" spans="1:39" x14ac:dyDescent="0.25">
      <c r="AA1018" s="237"/>
      <c r="AB1018" s="237"/>
      <c r="AC1018" s="237"/>
      <c r="AD1018" s="237"/>
      <c r="AE1018" s="237"/>
      <c r="AF1018" s="237"/>
      <c r="AG1018" s="237"/>
      <c r="AH1018" s="237"/>
      <c r="AJ1018" s="238"/>
    </row>
    <row r="1019" spans="1:39" x14ac:dyDescent="0.25">
      <c r="AA1019" s="237"/>
      <c r="AB1019" s="237"/>
      <c r="AC1019" s="237"/>
      <c r="AD1019" s="237"/>
      <c r="AE1019" s="237"/>
      <c r="AF1019" s="237"/>
      <c r="AG1019" s="237"/>
      <c r="AH1019" s="237"/>
      <c r="AJ1019" s="238"/>
    </row>
    <row r="1020" spans="1:39" x14ac:dyDescent="0.25">
      <c r="AA1020" s="237"/>
      <c r="AB1020" s="237"/>
      <c r="AC1020" s="237"/>
      <c r="AD1020" s="237"/>
      <c r="AE1020" s="237"/>
      <c r="AF1020" s="237"/>
      <c r="AG1020" s="237"/>
      <c r="AH1020" s="237"/>
      <c r="AJ1020" s="238"/>
    </row>
    <row r="1021" spans="1:39" ht="12.75" x14ac:dyDescent="0.2">
      <c r="AL1021" s="226"/>
      <c r="AM1021" s="226"/>
    </row>
    <row r="1022" spans="1:39" ht="12.75" x14ac:dyDescent="0.2">
      <c r="A1022" s="236"/>
      <c r="B1022" s="236"/>
      <c r="C1022" s="236"/>
      <c r="D1022" s="236"/>
      <c r="E1022" s="237"/>
      <c r="G1022" s="237"/>
      <c r="H1022" s="237"/>
      <c r="I1022" s="237"/>
      <c r="K1022" s="237"/>
      <c r="N1022" s="237"/>
      <c r="O1022" s="237"/>
      <c r="P1022" s="237"/>
      <c r="Q1022" s="237"/>
      <c r="AL1022" s="226"/>
      <c r="AM1022" s="226"/>
    </row>
    <row r="1023" spans="1:39" x14ac:dyDescent="0.25">
      <c r="AA1023" s="237"/>
      <c r="AB1023" s="237"/>
      <c r="AC1023" s="237"/>
      <c r="AD1023" s="237"/>
      <c r="AE1023" s="237"/>
      <c r="AF1023" s="237"/>
      <c r="AG1023" s="237"/>
      <c r="AH1023" s="237"/>
      <c r="AJ1023" s="238"/>
    </row>
    <row r="1024" spans="1:39" x14ac:dyDescent="0.25">
      <c r="AA1024" s="237"/>
      <c r="AB1024" s="237"/>
      <c r="AC1024" s="237"/>
      <c r="AD1024" s="237"/>
      <c r="AE1024" s="237"/>
      <c r="AF1024" s="237"/>
      <c r="AG1024" s="237"/>
      <c r="AH1024" s="237"/>
      <c r="AJ1024" s="238"/>
    </row>
    <row r="1025" spans="1:39" ht="12.75" x14ac:dyDescent="0.2">
      <c r="AL1025" s="226"/>
      <c r="AM1025" s="226"/>
    </row>
    <row r="1026" spans="1:39" ht="12.75" x14ac:dyDescent="0.2">
      <c r="A1026" s="236"/>
      <c r="B1026" s="236"/>
      <c r="C1026" s="236"/>
      <c r="D1026" s="236"/>
      <c r="E1026" s="237"/>
      <c r="G1026" s="237"/>
      <c r="H1026" s="237"/>
      <c r="I1026" s="237"/>
      <c r="K1026" s="237"/>
      <c r="N1026" s="237"/>
      <c r="O1026" s="237"/>
      <c r="P1026" s="237"/>
      <c r="Q1026" s="237"/>
      <c r="AL1026" s="226"/>
      <c r="AM1026" s="226"/>
    </row>
    <row r="1027" spans="1:39" x14ac:dyDescent="0.25">
      <c r="AA1027" s="237"/>
      <c r="AB1027" s="237"/>
      <c r="AC1027" s="237"/>
      <c r="AD1027" s="237"/>
      <c r="AE1027" s="237"/>
      <c r="AF1027" s="237"/>
      <c r="AG1027" s="237"/>
      <c r="AH1027" s="237"/>
      <c r="AJ1027" s="238"/>
    </row>
    <row r="1028" spans="1:39" x14ac:dyDescent="0.25">
      <c r="AA1028" s="237"/>
      <c r="AB1028" s="237"/>
      <c r="AC1028" s="237"/>
      <c r="AD1028" s="237"/>
      <c r="AE1028" s="237"/>
      <c r="AF1028" s="237"/>
      <c r="AG1028" s="237"/>
      <c r="AH1028" s="237"/>
      <c r="AJ1028" s="238"/>
    </row>
    <row r="1029" spans="1:39" x14ac:dyDescent="0.25">
      <c r="AA1029" s="237"/>
      <c r="AB1029" s="237"/>
      <c r="AC1029" s="237"/>
      <c r="AD1029" s="237"/>
      <c r="AE1029" s="237"/>
      <c r="AF1029" s="237"/>
      <c r="AG1029" s="237"/>
      <c r="AH1029" s="237"/>
      <c r="AJ1029" s="238"/>
    </row>
    <row r="1030" spans="1:39" ht="12.75" x14ac:dyDescent="0.2">
      <c r="AL1030" s="226"/>
      <c r="AM1030" s="226"/>
    </row>
    <row r="1031" spans="1:39" ht="12.75" x14ac:dyDescent="0.2">
      <c r="A1031" s="236"/>
      <c r="B1031" s="236"/>
      <c r="C1031" s="236"/>
      <c r="D1031" s="236"/>
      <c r="E1031" s="237"/>
      <c r="G1031" s="237"/>
      <c r="H1031" s="237"/>
      <c r="I1031" s="237"/>
      <c r="K1031" s="237"/>
      <c r="N1031" s="237"/>
      <c r="O1031" s="237"/>
      <c r="P1031" s="237"/>
      <c r="Q1031" s="237"/>
      <c r="AL1031" s="226"/>
      <c r="AM1031" s="226"/>
    </row>
    <row r="1032" spans="1:39" x14ac:dyDescent="0.25">
      <c r="AA1032" s="237"/>
      <c r="AB1032" s="237"/>
      <c r="AC1032" s="237"/>
      <c r="AD1032" s="237"/>
      <c r="AE1032" s="237"/>
      <c r="AF1032" s="237"/>
      <c r="AG1032" s="237"/>
      <c r="AH1032" s="237"/>
      <c r="AJ1032" s="238"/>
    </row>
    <row r="1033" spans="1:39" ht="12.75" x14ac:dyDescent="0.2">
      <c r="AL1033" s="226"/>
      <c r="AM1033" s="226"/>
    </row>
    <row r="1034" spans="1:39" ht="12.75" x14ac:dyDescent="0.2">
      <c r="A1034" s="236"/>
      <c r="B1034" s="236"/>
      <c r="C1034" s="236"/>
      <c r="D1034" s="236"/>
      <c r="E1034" s="237"/>
      <c r="G1034" s="237"/>
      <c r="H1034" s="237"/>
      <c r="I1034" s="237"/>
      <c r="K1034" s="237"/>
      <c r="N1034" s="237"/>
      <c r="O1034" s="237"/>
      <c r="P1034" s="237"/>
      <c r="Q1034" s="237"/>
      <c r="AL1034" s="226"/>
      <c r="AM1034" s="226"/>
    </row>
    <row r="1035" spans="1:39" x14ac:dyDescent="0.25">
      <c r="AA1035" s="237"/>
      <c r="AB1035" s="237"/>
      <c r="AC1035" s="237"/>
      <c r="AD1035" s="237"/>
      <c r="AE1035" s="237"/>
      <c r="AF1035" s="237"/>
      <c r="AG1035" s="237"/>
      <c r="AH1035" s="237"/>
      <c r="AJ1035" s="238"/>
    </row>
    <row r="1036" spans="1:39" x14ac:dyDescent="0.25">
      <c r="AA1036" s="237"/>
      <c r="AB1036" s="237"/>
      <c r="AC1036" s="237"/>
      <c r="AD1036" s="237"/>
      <c r="AE1036" s="237"/>
      <c r="AF1036" s="237"/>
      <c r="AG1036" s="237"/>
      <c r="AH1036" s="237"/>
      <c r="AJ1036" s="238"/>
    </row>
    <row r="1037" spans="1:39" x14ac:dyDescent="0.25">
      <c r="AA1037" s="237"/>
      <c r="AB1037" s="237"/>
      <c r="AC1037" s="237"/>
      <c r="AD1037" s="237"/>
      <c r="AE1037" s="237"/>
      <c r="AF1037" s="237"/>
      <c r="AG1037" s="237"/>
      <c r="AH1037" s="237"/>
      <c r="AJ1037" s="238"/>
    </row>
    <row r="1038" spans="1:39" x14ac:dyDescent="0.25">
      <c r="AA1038" s="237"/>
      <c r="AB1038" s="237"/>
      <c r="AC1038" s="237"/>
      <c r="AD1038" s="237"/>
      <c r="AE1038" s="237"/>
      <c r="AF1038" s="237"/>
      <c r="AG1038" s="237"/>
      <c r="AH1038" s="237"/>
      <c r="AJ1038" s="238"/>
    </row>
    <row r="1039" spans="1:39" ht="12.75" x14ac:dyDescent="0.2">
      <c r="AL1039" s="226"/>
      <c r="AM1039" s="226"/>
    </row>
    <row r="1040" spans="1:39" ht="12.75" x14ac:dyDescent="0.2">
      <c r="A1040" s="236"/>
      <c r="B1040" s="236"/>
      <c r="C1040" s="236"/>
      <c r="D1040" s="236"/>
      <c r="E1040" s="237"/>
      <c r="G1040" s="237"/>
      <c r="H1040" s="237"/>
      <c r="I1040" s="237"/>
      <c r="K1040" s="237"/>
      <c r="N1040" s="237"/>
      <c r="O1040" s="237"/>
      <c r="P1040" s="237"/>
      <c r="Q1040" s="237"/>
      <c r="AL1040" s="226"/>
      <c r="AM1040" s="226"/>
    </row>
    <row r="1041" spans="1:39" x14ac:dyDescent="0.25">
      <c r="AA1041" s="237"/>
      <c r="AB1041" s="237"/>
      <c r="AC1041" s="237"/>
      <c r="AD1041" s="237"/>
      <c r="AE1041" s="237"/>
      <c r="AF1041" s="237"/>
      <c r="AG1041" s="237"/>
      <c r="AH1041" s="237"/>
      <c r="AJ1041" s="238"/>
    </row>
    <row r="1042" spans="1:39" x14ac:dyDescent="0.25">
      <c r="AA1042" s="237"/>
      <c r="AB1042" s="237"/>
      <c r="AC1042" s="237"/>
      <c r="AD1042" s="237"/>
      <c r="AE1042" s="237"/>
      <c r="AF1042" s="237"/>
      <c r="AG1042" s="237"/>
      <c r="AH1042" s="237"/>
      <c r="AJ1042" s="238"/>
    </row>
    <row r="1043" spans="1:39" x14ac:dyDescent="0.25">
      <c r="AA1043" s="237"/>
      <c r="AB1043" s="237"/>
      <c r="AC1043" s="237"/>
      <c r="AD1043" s="237"/>
      <c r="AE1043" s="237"/>
      <c r="AF1043" s="237"/>
      <c r="AG1043" s="237"/>
      <c r="AH1043" s="237"/>
      <c r="AJ1043" s="238"/>
    </row>
    <row r="1044" spans="1:39" ht="12.75" x14ac:dyDescent="0.2">
      <c r="AL1044" s="226"/>
      <c r="AM1044" s="226"/>
    </row>
    <row r="1045" spans="1:39" ht="12.75" x14ac:dyDescent="0.2">
      <c r="A1045" s="236"/>
      <c r="B1045" s="236"/>
      <c r="C1045" s="236"/>
      <c r="D1045" s="236"/>
      <c r="E1045" s="237"/>
      <c r="G1045" s="237"/>
      <c r="H1045" s="237"/>
      <c r="I1045" s="237"/>
      <c r="K1045" s="237"/>
      <c r="N1045" s="237"/>
      <c r="O1045" s="237"/>
      <c r="P1045" s="237"/>
      <c r="Q1045" s="237"/>
      <c r="AL1045" s="226"/>
      <c r="AM1045" s="226"/>
    </row>
    <row r="1046" spans="1:39" x14ac:dyDescent="0.25">
      <c r="AA1046" s="237"/>
      <c r="AB1046" s="237"/>
      <c r="AC1046" s="237"/>
      <c r="AD1046" s="237"/>
      <c r="AE1046" s="237"/>
      <c r="AF1046" s="237"/>
      <c r="AG1046" s="237"/>
      <c r="AH1046" s="237"/>
      <c r="AJ1046" s="238"/>
    </row>
    <row r="1047" spans="1:39" ht="12.75" x14ac:dyDescent="0.2">
      <c r="AL1047" s="226"/>
      <c r="AM1047" s="226"/>
    </row>
    <row r="1048" spans="1:39" ht="12.75" x14ac:dyDescent="0.2">
      <c r="A1048" s="236"/>
      <c r="B1048" s="236"/>
      <c r="C1048" s="236"/>
      <c r="D1048" s="236"/>
      <c r="E1048" s="237"/>
      <c r="G1048" s="237"/>
      <c r="H1048" s="237"/>
      <c r="I1048" s="237"/>
      <c r="K1048" s="237"/>
      <c r="N1048" s="237"/>
      <c r="O1048" s="237"/>
      <c r="P1048" s="237"/>
      <c r="Q1048" s="237"/>
      <c r="AL1048" s="226"/>
      <c r="AM1048" s="226"/>
    </row>
    <row r="1049" spans="1:39" x14ac:dyDescent="0.25">
      <c r="T1049" s="240"/>
      <c r="U1049" s="240"/>
      <c r="V1049" s="240"/>
      <c r="W1049" s="240"/>
      <c r="Y1049" s="240"/>
      <c r="Z1049" s="240"/>
      <c r="AA1049" s="241"/>
      <c r="AB1049" s="241"/>
      <c r="AC1049" s="241"/>
      <c r="AD1049" s="241"/>
      <c r="AE1049" s="241"/>
      <c r="AF1049" s="241"/>
      <c r="AG1049" s="241"/>
      <c r="AH1049" s="241"/>
      <c r="AJ1049" s="238"/>
    </row>
    <row r="1050" spans="1:39" ht="12.75" x14ac:dyDescent="0.2">
      <c r="AL1050" s="226"/>
      <c r="AM1050" s="226"/>
    </row>
    <row r="1051" spans="1:39" ht="12.75" x14ac:dyDescent="0.2">
      <c r="A1051" s="236"/>
      <c r="B1051" s="236"/>
      <c r="C1051" s="236"/>
      <c r="D1051" s="236"/>
      <c r="E1051" s="237"/>
      <c r="G1051" s="237"/>
      <c r="H1051" s="237"/>
      <c r="I1051" s="237"/>
      <c r="K1051" s="237"/>
      <c r="N1051" s="237"/>
      <c r="O1051" s="237"/>
      <c r="P1051" s="237"/>
      <c r="Q1051" s="237"/>
      <c r="AL1051" s="226"/>
      <c r="AM1051" s="226"/>
    </row>
    <row r="1052" spans="1:39" x14ac:dyDescent="0.25">
      <c r="AA1052" s="237"/>
      <c r="AB1052" s="237"/>
      <c r="AC1052" s="237"/>
      <c r="AD1052" s="237"/>
      <c r="AE1052" s="237"/>
      <c r="AF1052" s="237"/>
      <c r="AG1052" s="237"/>
      <c r="AH1052" s="237"/>
      <c r="AJ1052" s="238"/>
    </row>
    <row r="1053" spans="1:39" ht="12.75" x14ac:dyDescent="0.2">
      <c r="AL1053" s="226"/>
      <c r="AM1053" s="226"/>
    </row>
    <row r="1054" spans="1:39" ht="12.75" x14ac:dyDescent="0.2">
      <c r="A1054" s="236"/>
      <c r="B1054" s="236"/>
      <c r="C1054" s="236"/>
      <c r="D1054" s="236"/>
      <c r="E1054" s="237"/>
      <c r="G1054" s="237"/>
      <c r="H1054" s="237"/>
      <c r="I1054" s="237"/>
      <c r="K1054" s="237"/>
      <c r="N1054" s="237"/>
      <c r="O1054" s="237"/>
      <c r="P1054" s="237"/>
      <c r="Q1054" s="237"/>
      <c r="AL1054" s="226"/>
      <c r="AM1054" s="226"/>
    </row>
    <row r="1055" spans="1:39" x14ac:dyDescent="0.25">
      <c r="AA1055" s="237"/>
      <c r="AB1055" s="237"/>
      <c r="AC1055" s="237"/>
      <c r="AD1055" s="237"/>
      <c r="AE1055" s="237"/>
      <c r="AF1055" s="237"/>
      <c r="AG1055" s="237"/>
      <c r="AH1055" s="237"/>
      <c r="AJ1055" s="238"/>
    </row>
    <row r="1056" spans="1:39" ht="12.75" x14ac:dyDescent="0.2">
      <c r="AL1056" s="226"/>
      <c r="AM1056" s="226"/>
    </row>
    <row r="1057" spans="1:39" ht="12.75" x14ac:dyDescent="0.2">
      <c r="A1057" s="236"/>
      <c r="B1057" s="236"/>
      <c r="C1057" s="236"/>
      <c r="D1057" s="236"/>
      <c r="E1057" s="237"/>
      <c r="G1057" s="237"/>
      <c r="H1057" s="237"/>
      <c r="I1057" s="237"/>
      <c r="K1057" s="237"/>
      <c r="N1057" s="237"/>
      <c r="O1057" s="237"/>
      <c r="P1057" s="237"/>
      <c r="Q1057" s="237"/>
      <c r="AL1057" s="226"/>
      <c r="AM1057" s="226"/>
    </row>
    <row r="1058" spans="1:39" x14ac:dyDescent="0.25">
      <c r="AA1058" s="237"/>
      <c r="AB1058" s="237"/>
      <c r="AC1058" s="237"/>
      <c r="AD1058" s="237"/>
      <c r="AE1058" s="237"/>
      <c r="AF1058" s="237"/>
      <c r="AG1058" s="237"/>
      <c r="AH1058" s="237"/>
      <c r="AJ1058" s="238"/>
    </row>
    <row r="1059" spans="1:39" ht="12.75" x14ac:dyDescent="0.2">
      <c r="AL1059" s="226"/>
      <c r="AM1059" s="226"/>
    </row>
    <row r="1060" spans="1:39" ht="12.75" x14ac:dyDescent="0.2">
      <c r="A1060" s="236"/>
      <c r="B1060" s="236"/>
      <c r="C1060" s="236"/>
      <c r="D1060" s="236"/>
      <c r="E1060" s="237"/>
      <c r="G1060" s="237"/>
      <c r="H1060" s="237"/>
      <c r="I1060" s="237"/>
      <c r="K1060" s="237"/>
      <c r="N1060" s="237"/>
      <c r="O1060" s="237"/>
      <c r="P1060" s="237"/>
      <c r="Q1060" s="237"/>
      <c r="AL1060" s="226"/>
      <c r="AM1060" s="226"/>
    </row>
    <row r="1061" spans="1:39" x14ac:dyDescent="0.25">
      <c r="AA1061" s="237"/>
      <c r="AB1061" s="237"/>
      <c r="AC1061" s="237"/>
      <c r="AD1061" s="237"/>
      <c r="AE1061" s="237"/>
      <c r="AF1061" s="237"/>
      <c r="AG1061" s="237"/>
      <c r="AH1061" s="237"/>
      <c r="AJ1061" s="238"/>
    </row>
    <row r="1062" spans="1:39" x14ac:dyDescent="0.25">
      <c r="AA1062" s="237"/>
      <c r="AB1062" s="237"/>
      <c r="AC1062" s="237"/>
      <c r="AD1062" s="237"/>
      <c r="AE1062" s="237"/>
      <c r="AF1062" s="237"/>
      <c r="AG1062" s="237"/>
      <c r="AH1062" s="237"/>
      <c r="AJ1062" s="238"/>
    </row>
    <row r="1063" spans="1:39" x14ac:dyDescent="0.25">
      <c r="AA1063" s="237"/>
      <c r="AB1063" s="237"/>
      <c r="AC1063" s="237"/>
      <c r="AD1063" s="237"/>
      <c r="AE1063" s="237"/>
      <c r="AF1063" s="237"/>
      <c r="AG1063" s="237"/>
      <c r="AH1063" s="237"/>
      <c r="AJ1063" s="238"/>
    </row>
    <row r="1064" spans="1:39" x14ac:dyDescent="0.25">
      <c r="AA1064" s="237"/>
      <c r="AB1064" s="237"/>
      <c r="AC1064" s="237"/>
      <c r="AD1064" s="237"/>
      <c r="AE1064" s="237"/>
      <c r="AF1064" s="237"/>
      <c r="AG1064" s="237"/>
      <c r="AH1064" s="237"/>
      <c r="AJ1064" s="238"/>
    </row>
    <row r="1065" spans="1:39" ht="12.75" x14ac:dyDescent="0.2">
      <c r="AL1065" s="226"/>
      <c r="AM1065" s="226"/>
    </row>
    <row r="1066" spans="1:39" ht="12.75" x14ac:dyDescent="0.2">
      <c r="A1066" s="236"/>
      <c r="B1066" s="236"/>
      <c r="C1066" s="236"/>
      <c r="D1066" s="236"/>
      <c r="E1066" s="237"/>
      <c r="G1066" s="237"/>
      <c r="H1066" s="237"/>
      <c r="I1066" s="237"/>
      <c r="K1066" s="237"/>
      <c r="N1066" s="237"/>
      <c r="O1066" s="237"/>
      <c r="P1066" s="237"/>
      <c r="Q1066" s="237"/>
      <c r="AL1066" s="226"/>
      <c r="AM1066" s="226"/>
    </row>
    <row r="1067" spans="1:39" x14ac:dyDescent="0.25">
      <c r="AA1067" s="237"/>
      <c r="AB1067" s="237"/>
      <c r="AC1067" s="237"/>
      <c r="AD1067" s="237"/>
      <c r="AE1067" s="237"/>
      <c r="AF1067" s="237"/>
      <c r="AG1067" s="237"/>
      <c r="AH1067" s="237"/>
      <c r="AJ1067" s="238"/>
    </row>
    <row r="1068" spans="1:39" ht="12.75" x14ac:dyDescent="0.2">
      <c r="AL1068" s="226"/>
      <c r="AM1068" s="226"/>
    </row>
    <row r="1069" spans="1:39" ht="12.75" x14ac:dyDescent="0.2">
      <c r="A1069" s="236"/>
      <c r="B1069" s="236"/>
      <c r="C1069" s="236"/>
      <c r="D1069" s="236"/>
      <c r="E1069" s="237"/>
      <c r="G1069" s="237"/>
      <c r="H1069" s="237"/>
      <c r="I1069" s="237"/>
      <c r="K1069" s="237"/>
      <c r="N1069" s="237"/>
      <c r="O1069" s="237"/>
      <c r="P1069" s="237"/>
      <c r="Q1069" s="237"/>
      <c r="AL1069" s="226"/>
      <c r="AM1069" s="226"/>
    </row>
    <row r="1070" spans="1:39" x14ac:dyDescent="0.25">
      <c r="AA1070" s="237"/>
      <c r="AB1070" s="237"/>
      <c r="AC1070" s="237"/>
      <c r="AD1070" s="237"/>
      <c r="AE1070" s="237"/>
      <c r="AF1070" s="237"/>
      <c r="AG1070" s="237"/>
      <c r="AH1070" s="237"/>
      <c r="AJ1070" s="238"/>
    </row>
    <row r="1071" spans="1:39" ht="12.75" x14ac:dyDescent="0.2">
      <c r="AL1071" s="226"/>
      <c r="AM1071" s="226"/>
    </row>
    <row r="1072" spans="1:39" ht="12.75" x14ac:dyDescent="0.2">
      <c r="A1072" s="236"/>
      <c r="B1072" s="236"/>
      <c r="C1072" s="236"/>
      <c r="D1072" s="236"/>
      <c r="E1072" s="237"/>
      <c r="G1072" s="237"/>
      <c r="H1072" s="237"/>
      <c r="I1072" s="237"/>
      <c r="K1072" s="237"/>
      <c r="N1072" s="237"/>
      <c r="O1072" s="237"/>
      <c r="P1072" s="237"/>
      <c r="Q1072" s="237"/>
      <c r="AL1072" s="226"/>
      <c r="AM1072" s="226"/>
    </row>
    <row r="1073" spans="1:39" x14ac:dyDescent="0.25">
      <c r="AA1073" s="237"/>
      <c r="AB1073" s="237"/>
      <c r="AC1073" s="237"/>
      <c r="AD1073" s="237"/>
      <c r="AE1073" s="237"/>
      <c r="AF1073" s="237"/>
      <c r="AG1073" s="237"/>
      <c r="AH1073" s="237"/>
      <c r="AJ1073" s="238"/>
    </row>
    <row r="1074" spans="1:39" ht="12.75" x14ac:dyDescent="0.2">
      <c r="AL1074" s="226"/>
      <c r="AM1074" s="226"/>
    </row>
    <row r="1075" spans="1:39" ht="12.75" x14ac:dyDescent="0.2">
      <c r="A1075" s="236"/>
      <c r="B1075" s="236"/>
      <c r="C1075" s="236"/>
      <c r="D1075" s="236"/>
      <c r="E1075" s="237"/>
      <c r="G1075" s="237"/>
      <c r="H1075" s="237"/>
      <c r="I1075" s="237"/>
      <c r="K1075" s="237"/>
      <c r="N1075" s="237"/>
      <c r="O1075" s="237"/>
      <c r="P1075" s="237"/>
      <c r="Q1075" s="237"/>
      <c r="AL1075" s="226"/>
      <c r="AM1075" s="226"/>
    </row>
    <row r="1076" spans="1:39" x14ac:dyDescent="0.25">
      <c r="AA1076" s="237"/>
      <c r="AB1076" s="237"/>
      <c r="AC1076" s="237"/>
      <c r="AD1076" s="237"/>
      <c r="AE1076" s="237"/>
      <c r="AF1076" s="237"/>
      <c r="AG1076" s="237"/>
      <c r="AH1076" s="237"/>
      <c r="AJ1076" s="238"/>
    </row>
    <row r="1077" spans="1:39" x14ac:dyDescent="0.25">
      <c r="AA1077" s="237"/>
      <c r="AB1077" s="237"/>
      <c r="AC1077" s="237"/>
      <c r="AD1077" s="237"/>
      <c r="AE1077" s="237"/>
      <c r="AF1077" s="237"/>
      <c r="AG1077" s="237"/>
      <c r="AH1077" s="237"/>
      <c r="AJ1077" s="238"/>
    </row>
    <row r="1078" spans="1:39" ht="12.75" x14ac:dyDescent="0.2">
      <c r="AL1078" s="226"/>
      <c r="AM1078" s="226"/>
    </row>
    <row r="1079" spans="1:39" ht="12.75" x14ac:dyDescent="0.2">
      <c r="A1079" s="236"/>
      <c r="B1079" s="236"/>
      <c r="C1079" s="236"/>
      <c r="D1079" s="236"/>
      <c r="E1079" s="237"/>
      <c r="G1079" s="237"/>
      <c r="H1079" s="237"/>
      <c r="I1079" s="237"/>
      <c r="K1079" s="237"/>
      <c r="N1079" s="237"/>
      <c r="O1079" s="237"/>
      <c r="P1079" s="237"/>
      <c r="Q1079" s="237"/>
      <c r="AL1079" s="226"/>
      <c r="AM1079" s="226"/>
    </row>
    <row r="1080" spans="1:39" x14ac:dyDescent="0.25">
      <c r="AA1080" s="237"/>
      <c r="AB1080" s="237"/>
      <c r="AC1080" s="237"/>
      <c r="AD1080" s="237"/>
      <c r="AE1080" s="237"/>
      <c r="AF1080" s="237"/>
      <c r="AG1080" s="237"/>
      <c r="AH1080" s="237"/>
      <c r="AJ1080" s="238"/>
    </row>
    <row r="1081" spans="1:39" ht="12.75" x14ac:dyDescent="0.2">
      <c r="AL1081" s="226"/>
      <c r="AM1081" s="226"/>
    </row>
    <row r="1082" spans="1:39" ht="12.75" x14ac:dyDescent="0.2">
      <c r="A1082" s="236"/>
      <c r="B1082" s="236"/>
      <c r="C1082" s="236"/>
      <c r="D1082" s="236"/>
      <c r="E1082" s="237"/>
      <c r="G1082" s="237"/>
      <c r="H1082" s="237"/>
      <c r="I1082" s="237"/>
      <c r="K1082" s="237"/>
      <c r="N1082" s="237"/>
      <c r="O1082" s="237"/>
      <c r="P1082" s="237"/>
      <c r="Q1082" s="237"/>
      <c r="AL1082" s="226"/>
      <c r="AM1082" s="226"/>
    </row>
    <row r="1083" spans="1:39" x14ac:dyDescent="0.25">
      <c r="AA1083" s="237"/>
      <c r="AB1083" s="237"/>
      <c r="AC1083" s="237"/>
      <c r="AD1083" s="237"/>
      <c r="AE1083" s="237"/>
      <c r="AF1083" s="237"/>
      <c r="AG1083" s="237"/>
      <c r="AH1083" s="237"/>
      <c r="AJ1083" s="238"/>
    </row>
    <row r="1084" spans="1:39" x14ac:dyDescent="0.25">
      <c r="AA1084" s="237"/>
      <c r="AB1084" s="237"/>
      <c r="AC1084" s="237"/>
      <c r="AD1084" s="237"/>
      <c r="AE1084" s="237"/>
      <c r="AF1084" s="237"/>
      <c r="AG1084" s="237"/>
      <c r="AH1084" s="237"/>
      <c r="AJ1084" s="238"/>
    </row>
    <row r="1085" spans="1:39" x14ac:dyDescent="0.25">
      <c r="AA1085" s="237"/>
      <c r="AB1085" s="237"/>
      <c r="AC1085" s="237"/>
      <c r="AD1085" s="237"/>
      <c r="AE1085" s="237"/>
      <c r="AF1085" s="237"/>
      <c r="AG1085" s="237"/>
      <c r="AH1085" s="237"/>
      <c r="AJ1085" s="238"/>
    </row>
    <row r="1086" spans="1:39" x14ac:dyDescent="0.25">
      <c r="AA1086" s="237"/>
      <c r="AB1086" s="237"/>
      <c r="AC1086" s="237"/>
      <c r="AD1086" s="237"/>
      <c r="AE1086" s="237"/>
      <c r="AF1086" s="237"/>
      <c r="AG1086" s="237"/>
      <c r="AH1086" s="237"/>
      <c r="AJ1086" s="238"/>
    </row>
    <row r="1087" spans="1:39" x14ac:dyDescent="0.25">
      <c r="AA1087" s="237"/>
      <c r="AB1087" s="237"/>
      <c r="AC1087" s="237"/>
      <c r="AD1087" s="237"/>
      <c r="AE1087" s="237"/>
      <c r="AF1087" s="237"/>
      <c r="AG1087" s="237"/>
      <c r="AH1087" s="237"/>
      <c r="AJ1087" s="238"/>
    </row>
    <row r="1088" spans="1:39" x14ac:dyDescent="0.25">
      <c r="AA1088" s="237"/>
      <c r="AB1088" s="237"/>
      <c r="AC1088" s="237"/>
      <c r="AD1088" s="237"/>
      <c r="AE1088" s="237"/>
      <c r="AF1088" s="237"/>
      <c r="AG1088" s="237"/>
      <c r="AH1088" s="237"/>
      <c r="AJ1088" s="238"/>
    </row>
    <row r="1089" spans="1:39" x14ac:dyDescent="0.25">
      <c r="AA1089" s="237"/>
      <c r="AB1089" s="237"/>
      <c r="AC1089" s="237"/>
      <c r="AD1089" s="237"/>
      <c r="AE1089" s="237"/>
      <c r="AF1089" s="237"/>
      <c r="AG1089" s="237"/>
      <c r="AH1089" s="237"/>
      <c r="AJ1089" s="238"/>
    </row>
    <row r="1090" spans="1:39" ht="12.75" x14ac:dyDescent="0.2">
      <c r="AL1090" s="226"/>
      <c r="AM1090" s="226"/>
    </row>
    <row r="1091" spans="1:39" ht="12.75" x14ac:dyDescent="0.2">
      <c r="A1091" s="236"/>
      <c r="B1091" s="236"/>
      <c r="C1091" s="236"/>
      <c r="D1091" s="236"/>
      <c r="E1091" s="237"/>
      <c r="G1091" s="237"/>
      <c r="H1091" s="237"/>
      <c r="I1091" s="237"/>
      <c r="K1091" s="237"/>
      <c r="N1091" s="237"/>
      <c r="O1091" s="237"/>
      <c r="P1091" s="237"/>
      <c r="Q1091" s="237"/>
      <c r="AL1091" s="226"/>
      <c r="AM1091" s="226"/>
    </row>
    <row r="1092" spans="1:39" x14ac:dyDescent="0.25">
      <c r="AA1092" s="237"/>
      <c r="AB1092" s="237"/>
      <c r="AC1092" s="237"/>
      <c r="AD1092" s="237"/>
      <c r="AE1092" s="237"/>
      <c r="AF1092" s="237"/>
      <c r="AG1092" s="237"/>
      <c r="AH1092" s="237"/>
      <c r="AJ1092" s="238"/>
    </row>
    <row r="1093" spans="1:39" x14ac:dyDescent="0.25">
      <c r="AA1093" s="237"/>
      <c r="AB1093" s="237"/>
      <c r="AC1093" s="237"/>
      <c r="AD1093" s="237"/>
      <c r="AE1093" s="237"/>
      <c r="AF1093" s="237"/>
      <c r="AG1093" s="237"/>
      <c r="AH1093" s="237"/>
      <c r="AJ1093" s="238"/>
    </row>
    <row r="1094" spans="1:39" x14ac:dyDescent="0.25">
      <c r="AA1094" s="237"/>
      <c r="AB1094" s="237"/>
      <c r="AC1094" s="237"/>
      <c r="AD1094" s="237"/>
      <c r="AE1094" s="237"/>
      <c r="AF1094" s="237"/>
      <c r="AG1094" s="237"/>
      <c r="AH1094" s="237"/>
      <c r="AJ1094" s="238"/>
    </row>
    <row r="1095" spans="1:39" ht="12.75" x14ac:dyDescent="0.2">
      <c r="AL1095" s="226"/>
      <c r="AM1095" s="226"/>
    </row>
    <row r="1096" spans="1:39" ht="12.75" x14ac:dyDescent="0.2">
      <c r="A1096" s="236"/>
      <c r="B1096" s="236"/>
      <c r="C1096" s="236"/>
      <c r="D1096" s="236"/>
      <c r="E1096" s="237"/>
      <c r="G1096" s="237"/>
      <c r="H1096" s="237"/>
      <c r="I1096" s="237"/>
      <c r="K1096" s="237"/>
      <c r="N1096" s="237"/>
      <c r="O1096" s="237"/>
      <c r="P1096" s="237"/>
      <c r="Q1096" s="237"/>
      <c r="AL1096" s="226"/>
      <c r="AM1096" s="226"/>
    </row>
    <row r="1097" spans="1:39" x14ac:dyDescent="0.25">
      <c r="AA1097" s="237"/>
      <c r="AB1097" s="237"/>
      <c r="AC1097" s="237"/>
      <c r="AD1097" s="237"/>
      <c r="AE1097" s="237"/>
      <c r="AF1097" s="237"/>
      <c r="AG1097" s="237"/>
      <c r="AH1097" s="237"/>
      <c r="AJ1097" s="238"/>
    </row>
    <row r="1098" spans="1:39" x14ac:dyDescent="0.25">
      <c r="AA1098" s="237"/>
      <c r="AB1098" s="237"/>
      <c r="AC1098" s="237"/>
      <c r="AD1098" s="237"/>
      <c r="AE1098" s="237"/>
      <c r="AF1098" s="237"/>
      <c r="AG1098" s="237"/>
      <c r="AH1098" s="237"/>
      <c r="AJ1098" s="238"/>
    </row>
    <row r="1099" spans="1:39" ht="12.75" x14ac:dyDescent="0.2">
      <c r="AL1099" s="226"/>
      <c r="AM1099" s="226"/>
    </row>
    <row r="1100" spans="1:39" ht="12.75" x14ac:dyDescent="0.2">
      <c r="A1100" s="236"/>
      <c r="B1100" s="236"/>
      <c r="C1100" s="236"/>
      <c r="D1100" s="236"/>
      <c r="E1100" s="237"/>
      <c r="G1100" s="237"/>
      <c r="H1100" s="237"/>
      <c r="I1100" s="237"/>
      <c r="K1100" s="237"/>
      <c r="N1100" s="237"/>
      <c r="O1100" s="237"/>
      <c r="P1100" s="237"/>
      <c r="Q1100" s="237"/>
      <c r="AL1100" s="226"/>
      <c r="AM1100" s="226"/>
    </row>
    <row r="1101" spans="1:39" x14ac:dyDescent="0.25">
      <c r="AA1101" s="237"/>
      <c r="AB1101" s="237"/>
      <c r="AC1101" s="237"/>
      <c r="AD1101" s="237"/>
      <c r="AE1101" s="237"/>
      <c r="AF1101" s="237"/>
      <c r="AG1101" s="237"/>
      <c r="AH1101" s="237"/>
      <c r="AJ1101" s="238"/>
    </row>
    <row r="1102" spans="1:39" x14ac:dyDescent="0.25">
      <c r="AA1102" s="237"/>
      <c r="AB1102" s="237"/>
      <c r="AC1102" s="237"/>
      <c r="AD1102" s="237"/>
      <c r="AE1102" s="237"/>
      <c r="AF1102" s="237"/>
      <c r="AG1102" s="237"/>
      <c r="AH1102" s="237"/>
      <c r="AJ1102" s="238"/>
    </row>
    <row r="1103" spans="1:39" x14ac:dyDescent="0.25">
      <c r="AA1103" s="237"/>
      <c r="AB1103" s="237"/>
      <c r="AC1103" s="237"/>
      <c r="AD1103" s="237"/>
      <c r="AE1103" s="237"/>
      <c r="AF1103" s="237"/>
      <c r="AG1103" s="237"/>
      <c r="AH1103" s="237"/>
      <c r="AJ1103" s="238"/>
    </row>
    <row r="1104" spans="1:39" ht="12.75" x14ac:dyDescent="0.2">
      <c r="AL1104" s="226"/>
      <c r="AM1104" s="226"/>
    </row>
    <row r="1105" spans="1:39" ht="12.75" x14ac:dyDescent="0.2">
      <c r="A1105" s="236"/>
      <c r="B1105" s="236"/>
      <c r="C1105" s="236"/>
      <c r="D1105" s="236"/>
      <c r="E1105" s="237"/>
      <c r="G1105" s="237"/>
      <c r="H1105" s="237"/>
      <c r="I1105" s="237"/>
      <c r="K1105" s="237"/>
      <c r="N1105" s="237"/>
      <c r="O1105" s="237"/>
      <c r="P1105" s="237"/>
      <c r="Q1105" s="237"/>
      <c r="AL1105" s="226"/>
      <c r="AM1105" s="226"/>
    </row>
    <row r="1106" spans="1:39" x14ac:dyDescent="0.25">
      <c r="AA1106" s="237"/>
      <c r="AB1106" s="237"/>
      <c r="AC1106" s="237"/>
      <c r="AD1106" s="237"/>
      <c r="AE1106" s="237"/>
      <c r="AF1106" s="237"/>
      <c r="AG1106" s="237"/>
      <c r="AH1106" s="237"/>
      <c r="AJ1106" s="238"/>
    </row>
    <row r="1107" spans="1:39" x14ac:dyDescent="0.25">
      <c r="AA1107" s="237"/>
      <c r="AB1107" s="237"/>
      <c r="AC1107" s="237"/>
      <c r="AD1107" s="237"/>
      <c r="AE1107" s="237"/>
      <c r="AF1107" s="237"/>
      <c r="AG1107" s="237"/>
      <c r="AH1107" s="237"/>
      <c r="AJ1107" s="238"/>
    </row>
    <row r="1108" spans="1:39" x14ac:dyDescent="0.25">
      <c r="AA1108" s="237"/>
      <c r="AB1108" s="237"/>
      <c r="AC1108" s="237"/>
      <c r="AD1108" s="237"/>
      <c r="AE1108" s="237"/>
      <c r="AF1108" s="237"/>
      <c r="AG1108" s="237"/>
      <c r="AH1108" s="237"/>
      <c r="AJ1108" s="238"/>
    </row>
    <row r="1109" spans="1:39" ht="12.75" x14ac:dyDescent="0.2">
      <c r="AL1109" s="226"/>
      <c r="AM1109" s="226"/>
    </row>
    <row r="1110" spans="1:39" ht="12.75" x14ac:dyDescent="0.2">
      <c r="A1110" s="236"/>
      <c r="B1110" s="236"/>
      <c r="C1110" s="236"/>
      <c r="D1110" s="236"/>
      <c r="E1110" s="237"/>
      <c r="G1110" s="237"/>
      <c r="H1110" s="237"/>
      <c r="I1110" s="237"/>
      <c r="K1110" s="237"/>
      <c r="N1110" s="237"/>
      <c r="O1110" s="237"/>
      <c r="P1110" s="237"/>
      <c r="Q1110" s="237"/>
      <c r="AL1110" s="226"/>
      <c r="AM1110" s="226"/>
    </row>
    <row r="1111" spans="1:39" x14ac:dyDescent="0.25">
      <c r="AA1111" s="237"/>
      <c r="AB1111" s="237"/>
      <c r="AC1111" s="237"/>
      <c r="AD1111" s="237"/>
      <c r="AE1111" s="237"/>
      <c r="AF1111" s="237"/>
      <c r="AG1111" s="237"/>
      <c r="AH1111" s="237"/>
      <c r="AJ1111" s="238"/>
    </row>
    <row r="1112" spans="1:39" x14ac:dyDescent="0.25">
      <c r="AA1112" s="237"/>
      <c r="AB1112" s="237"/>
      <c r="AC1112" s="237"/>
      <c r="AD1112" s="237"/>
      <c r="AE1112" s="237"/>
      <c r="AF1112" s="237"/>
      <c r="AG1112" s="237"/>
      <c r="AH1112" s="237"/>
      <c r="AJ1112" s="238"/>
    </row>
    <row r="1113" spans="1:39" ht="12.75" x14ac:dyDescent="0.2">
      <c r="AL1113" s="226"/>
      <c r="AM1113" s="226"/>
    </row>
    <row r="1114" spans="1:39" ht="12.75" x14ac:dyDescent="0.2">
      <c r="A1114" s="236"/>
      <c r="B1114" s="236"/>
      <c r="C1114" s="236"/>
      <c r="D1114" s="236"/>
      <c r="E1114" s="237"/>
      <c r="G1114" s="237"/>
      <c r="H1114" s="237"/>
      <c r="I1114" s="237"/>
      <c r="K1114" s="237"/>
      <c r="N1114" s="237"/>
      <c r="O1114" s="237"/>
      <c r="P1114" s="237"/>
      <c r="Q1114" s="237"/>
      <c r="AL1114" s="226"/>
      <c r="AM1114" s="226"/>
    </row>
    <row r="1115" spans="1:39" x14ac:dyDescent="0.25">
      <c r="AA1115" s="237"/>
      <c r="AB1115" s="237"/>
      <c r="AC1115" s="237"/>
      <c r="AD1115" s="237"/>
      <c r="AE1115" s="237"/>
      <c r="AF1115" s="237"/>
      <c r="AG1115" s="237"/>
      <c r="AH1115" s="237"/>
      <c r="AJ1115" s="238"/>
    </row>
    <row r="1116" spans="1:39" x14ac:dyDescent="0.25">
      <c r="AA1116" s="237"/>
      <c r="AB1116" s="237"/>
      <c r="AC1116" s="237"/>
      <c r="AD1116" s="237"/>
      <c r="AE1116" s="237"/>
      <c r="AF1116" s="237"/>
      <c r="AG1116" s="237"/>
      <c r="AH1116" s="237"/>
      <c r="AJ1116" s="238"/>
    </row>
    <row r="1117" spans="1:39" x14ac:dyDescent="0.25">
      <c r="AA1117" s="237"/>
      <c r="AB1117" s="237"/>
      <c r="AC1117" s="237"/>
      <c r="AD1117" s="237"/>
      <c r="AE1117" s="237"/>
      <c r="AF1117" s="237"/>
      <c r="AG1117" s="237"/>
      <c r="AH1117" s="237"/>
      <c r="AJ1117" s="238"/>
    </row>
    <row r="1118" spans="1:39" x14ac:dyDescent="0.25">
      <c r="AA1118" s="237"/>
      <c r="AB1118" s="237"/>
      <c r="AC1118" s="237"/>
      <c r="AD1118" s="237"/>
      <c r="AE1118" s="237"/>
      <c r="AF1118" s="237"/>
      <c r="AG1118" s="237"/>
      <c r="AH1118" s="237"/>
      <c r="AJ1118" s="238"/>
    </row>
    <row r="1119" spans="1:39" ht="12.75" x14ac:dyDescent="0.2">
      <c r="AL1119" s="226"/>
      <c r="AM1119" s="226"/>
    </row>
    <row r="1120" spans="1:39" ht="12.75" x14ac:dyDescent="0.2">
      <c r="A1120" s="236"/>
      <c r="B1120" s="236"/>
      <c r="C1120" s="236"/>
      <c r="D1120" s="236"/>
      <c r="E1120" s="237"/>
      <c r="G1120" s="237"/>
      <c r="H1120" s="237"/>
      <c r="I1120" s="237"/>
      <c r="K1120" s="237"/>
      <c r="N1120" s="237"/>
      <c r="O1120" s="237"/>
      <c r="P1120" s="237"/>
      <c r="Q1120" s="237"/>
      <c r="AL1120" s="226"/>
      <c r="AM1120" s="226"/>
    </row>
    <row r="1121" spans="1:39" x14ac:dyDescent="0.25">
      <c r="AA1121" s="237"/>
      <c r="AB1121" s="237"/>
      <c r="AC1121" s="237"/>
      <c r="AD1121" s="237"/>
      <c r="AE1121" s="237"/>
      <c r="AF1121" s="237"/>
      <c r="AG1121" s="237"/>
      <c r="AH1121" s="237"/>
      <c r="AJ1121" s="238"/>
    </row>
    <row r="1122" spans="1:39" ht="12.75" x14ac:dyDescent="0.2">
      <c r="AL1122" s="226"/>
      <c r="AM1122" s="226"/>
    </row>
    <row r="1123" spans="1:39" ht="12.75" x14ac:dyDescent="0.2">
      <c r="A1123" s="236"/>
      <c r="B1123" s="236"/>
      <c r="C1123" s="236"/>
      <c r="D1123" s="236"/>
      <c r="E1123" s="237"/>
      <c r="G1123" s="237"/>
      <c r="H1123" s="237"/>
      <c r="I1123" s="237"/>
      <c r="K1123" s="237"/>
      <c r="N1123" s="237"/>
      <c r="O1123" s="237"/>
      <c r="P1123" s="237"/>
      <c r="Q1123" s="237"/>
      <c r="AL1123" s="226"/>
      <c r="AM1123" s="226"/>
    </row>
    <row r="1124" spans="1:39" x14ac:dyDescent="0.25">
      <c r="AA1124" s="237"/>
      <c r="AB1124" s="237"/>
      <c r="AC1124" s="237"/>
      <c r="AD1124" s="237"/>
      <c r="AE1124" s="237"/>
      <c r="AF1124" s="237"/>
      <c r="AG1124" s="237"/>
      <c r="AH1124" s="237"/>
      <c r="AJ1124" s="238"/>
    </row>
    <row r="1125" spans="1:39" ht="12.75" x14ac:dyDescent="0.2">
      <c r="AL1125" s="226"/>
      <c r="AM1125" s="226"/>
    </row>
    <row r="1126" spans="1:39" ht="12.75" x14ac:dyDescent="0.2">
      <c r="A1126" s="236"/>
      <c r="B1126" s="236"/>
      <c r="C1126" s="236"/>
      <c r="D1126" s="236"/>
      <c r="E1126" s="237"/>
      <c r="G1126" s="237"/>
      <c r="H1126" s="237"/>
      <c r="I1126" s="237"/>
      <c r="K1126" s="237"/>
      <c r="N1126" s="237"/>
      <c r="O1126" s="237"/>
      <c r="P1126" s="237"/>
      <c r="Q1126" s="237"/>
      <c r="AL1126" s="226"/>
      <c r="AM1126" s="226"/>
    </row>
    <row r="1127" spans="1:39" x14ac:dyDescent="0.25">
      <c r="AA1127" s="237"/>
      <c r="AB1127" s="237"/>
      <c r="AC1127" s="237"/>
      <c r="AD1127" s="237"/>
      <c r="AE1127" s="237"/>
      <c r="AF1127" s="237"/>
      <c r="AG1127" s="237"/>
      <c r="AH1127" s="237"/>
      <c r="AJ1127" s="238"/>
    </row>
    <row r="1128" spans="1:39" ht="12.75" x14ac:dyDescent="0.2">
      <c r="AL1128" s="226"/>
      <c r="AM1128" s="226"/>
    </row>
    <row r="1129" spans="1:39" ht="12.75" x14ac:dyDescent="0.2">
      <c r="A1129" s="236"/>
      <c r="B1129" s="236"/>
      <c r="C1129" s="236"/>
      <c r="D1129" s="236"/>
      <c r="E1129" s="237"/>
      <c r="G1129" s="237"/>
      <c r="H1129" s="237"/>
      <c r="I1129" s="237"/>
      <c r="K1129" s="237"/>
      <c r="N1129" s="237"/>
      <c r="O1129" s="237"/>
      <c r="P1129" s="237"/>
      <c r="Q1129" s="237"/>
      <c r="AL1129" s="226"/>
      <c r="AM1129" s="226"/>
    </row>
    <row r="1130" spans="1:39" x14ac:dyDescent="0.25">
      <c r="AA1130" s="237"/>
      <c r="AB1130" s="237"/>
      <c r="AC1130" s="237"/>
      <c r="AD1130" s="237"/>
      <c r="AE1130" s="237"/>
      <c r="AF1130" s="237"/>
      <c r="AG1130" s="237"/>
      <c r="AH1130" s="237"/>
      <c r="AJ1130" s="238"/>
    </row>
    <row r="1131" spans="1:39" ht="12.75" x14ac:dyDescent="0.2">
      <c r="AL1131" s="226"/>
      <c r="AM1131" s="226"/>
    </row>
    <row r="1132" spans="1:39" ht="12.75" x14ac:dyDescent="0.2">
      <c r="A1132" s="236"/>
      <c r="B1132" s="236"/>
      <c r="C1132" s="236"/>
      <c r="D1132" s="236"/>
      <c r="E1132" s="237"/>
      <c r="G1132" s="237"/>
      <c r="H1132" s="237"/>
      <c r="I1132" s="237"/>
      <c r="K1132" s="237"/>
      <c r="N1132" s="237"/>
      <c r="O1132" s="237"/>
      <c r="P1132" s="237"/>
      <c r="Q1132" s="237"/>
      <c r="AL1132" s="226"/>
      <c r="AM1132" s="226"/>
    </row>
    <row r="1133" spans="1:39" x14ac:dyDescent="0.25">
      <c r="AA1133" s="237"/>
      <c r="AB1133" s="237"/>
      <c r="AC1133" s="237"/>
      <c r="AD1133" s="237"/>
      <c r="AE1133" s="237"/>
      <c r="AF1133" s="237"/>
      <c r="AG1133" s="237"/>
      <c r="AH1133" s="237"/>
      <c r="AJ1133" s="238"/>
    </row>
    <row r="1134" spans="1:39" x14ac:dyDescent="0.25">
      <c r="AA1134" s="237"/>
      <c r="AB1134" s="237"/>
      <c r="AC1134" s="237"/>
      <c r="AD1134" s="237"/>
      <c r="AE1134" s="237"/>
      <c r="AF1134" s="237"/>
      <c r="AG1134" s="237"/>
      <c r="AH1134" s="237"/>
      <c r="AJ1134" s="238"/>
    </row>
    <row r="1135" spans="1:39" ht="12.75" x14ac:dyDescent="0.2">
      <c r="AL1135" s="226"/>
      <c r="AM1135" s="226"/>
    </row>
    <row r="1136" spans="1:39" ht="12.75" x14ac:dyDescent="0.2">
      <c r="A1136" s="236"/>
      <c r="B1136" s="236"/>
      <c r="C1136" s="236"/>
      <c r="D1136" s="236"/>
      <c r="E1136" s="237"/>
      <c r="G1136" s="237"/>
      <c r="H1136" s="237"/>
      <c r="I1136" s="237"/>
      <c r="K1136" s="237"/>
      <c r="N1136" s="237"/>
      <c r="O1136" s="237"/>
      <c r="P1136" s="237"/>
      <c r="Q1136" s="237"/>
      <c r="AL1136" s="226"/>
      <c r="AM1136" s="226"/>
    </row>
    <row r="1137" spans="1:39" x14ac:dyDescent="0.25">
      <c r="AA1137" s="237"/>
      <c r="AB1137" s="237"/>
      <c r="AC1137" s="237"/>
      <c r="AD1137" s="237"/>
      <c r="AE1137" s="237"/>
      <c r="AF1137" s="237"/>
      <c r="AG1137" s="237"/>
      <c r="AH1137" s="237"/>
      <c r="AJ1137" s="238"/>
    </row>
    <row r="1138" spans="1:39" x14ac:dyDescent="0.25">
      <c r="AA1138" s="237"/>
      <c r="AB1138" s="237"/>
      <c r="AC1138" s="237"/>
      <c r="AD1138" s="237"/>
      <c r="AE1138" s="237"/>
      <c r="AF1138" s="237"/>
      <c r="AG1138" s="237"/>
      <c r="AH1138" s="237"/>
      <c r="AJ1138" s="238"/>
    </row>
    <row r="1139" spans="1:39" ht="12.75" x14ac:dyDescent="0.2">
      <c r="AL1139" s="226"/>
      <c r="AM1139" s="226"/>
    </row>
    <row r="1140" spans="1:39" ht="12.75" x14ac:dyDescent="0.2">
      <c r="A1140" s="236"/>
      <c r="B1140" s="236"/>
      <c r="C1140" s="236"/>
      <c r="D1140" s="236"/>
      <c r="E1140" s="237"/>
      <c r="G1140" s="237"/>
      <c r="H1140" s="237"/>
      <c r="I1140" s="237"/>
      <c r="K1140" s="237"/>
      <c r="N1140" s="237"/>
      <c r="O1140" s="237"/>
      <c r="P1140" s="237"/>
      <c r="Q1140" s="237"/>
      <c r="AL1140" s="226"/>
      <c r="AM1140" s="226"/>
    </row>
    <row r="1141" spans="1:39" x14ac:dyDescent="0.25">
      <c r="AA1141" s="237"/>
      <c r="AB1141" s="237"/>
      <c r="AC1141" s="237"/>
      <c r="AD1141" s="237"/>
      <c r="AE1141" s="237"/>
      <c r="AF1141" s="237"/>
      <c r="AG1141" s="237"/>
      <c r="AH1141" s="237"/>
      <c r="AJ1141" s="238"/>
    </row>
    <row r="1142" spans="1:39" x14ac:dyDescent="0.25">
      <c r="AA1142" s="237"/>
      <c r="AB1142" s="237"/>
      <c r="AC1142" s="237"/>
      <c r="AD1142" s="237"/>
      <c r="AE1142" s="237"/>
      <c r="AF1142" s="237"/>
      <c r="AG1142" s="237"/>
      <c r="AH1142" s="237"/>
      <c r="AJ1142" s="238"/>
    </row>
    <row r="1143" spans="1:39" ht="12.75" x14ac:dyDescent="0.2">
      <c r="AL1143" s="226"/>
      <c r="AM1143" s="226"/>
    </row>
    <row r="1144" spans="1:39" ht="12.75" x14ac:dyDescent="0.2">
      <c r="A1144" s="236"/>
      <c r="B1144" s="236"/>
      <c r="C1144" s="236"/>
      <c r="D1144" s="236"/>
      <c r="E1144" s="237"/>
      <c r="G1144" s="237"/>
      <c r="H1144" s="237"/>
      <c r="I1144" s="237"/>
      <c r="K1144" s="237"/>
      <c r="N1144" s="237"/>
      <c r="O1144" s="237"/>
      <c r="P1144" s="237"/>
      <c r="Q1144" s="237"/>
      <c r="AL1144" s="226"/>
      <c r="AM1144" s="226"/>
    </row>
    <row r="1145" spans="1:39" x14ac:dyDescent="0.25">
      <c r="AA1145" s="237"/>
      <c r="AB1145" s="237"/>
      <c r="AC1145" s="237"/>
      <c r="AD1145" s="237"/>
      <c r="AE1145" s="237"/>
      <c r="AF1145" s="237"/>
      <c r="AG1145" s="237"/>
      <c r="AH1145" s="237"/>
      <c r="AJ1145" s="238"/>
    </row>
    <row r="1146" spans="1:39" ht="12.75" x14ac:dyDescent="0.2">
      <c r="AL1146" s="226"/>
      <c r="AM1146" s="226"/>
    </row>
    <row r="1147" spans="1:39" ht="12.75" x14ac:dyDescent="0.2">
      <c r="A1147" s="236"/>
      <c r="B1147" s="236"/>
      <c r="C1147" s="236"/>
      <c r="D1147" s="236"/>
      <c r="E1147" s="237"/>
      <c r="G1147" s="237"/>
      <c r="H1147" s="237"/>
      <c r="I1147" s="237"/>
      <c r="K1147" s="237"/>
      <c r="N1147" s="237"/>
      <c r="O1147" s="237"/>
      <c r="P1147" s="237"/>
      <c r="Q1147" s="237"/>
      <c r="AL1147" s="226"/>
      <c r="AM1147" s="226"/>
    </row>
    <row r="1148" spans="1:39" x14ac:dyDescent="0.25">
      <c r="AA1148" s="237"/>
      <c r="AB1148" s="237"/>
      <c r="AC1148" s="237"/>
      <c r="AD1148" s="237"/>
      <c r="AE1148" s="237"/>
      <c r="AF1148" s="237"/>
      <c r="AG1148" s="237"/>
      <c r="AH1148" s="237"/>
      <c r="AJ1148" s="238"/>
    </row>
    <row r="1149" spans="1:39" x14ac:dyDescent="0.25">
      <c r="AA1149" s="237"/>
      <c r="AB1149" s="237"/>
      <c r="AC1149" s="237"/>
      <c r="AD1149" s="237"/>
      <c r="AE1149" s="237"/>
      <c r="AF1149" s="237"/>
      <c r="AG1149" s="237"/>
      <c r="AH1149" s="237"/>
      <c r="AJ1149" s="238"/>
    </row>
    <row r="1150" spans="1:39" x14ac:dyDescent="0.25">
      <c r="AA1150" s="237"/>
      <c r="AB1150" s="237"/>
      <c r="AC1150" s="237"/>
      <c r="AD1150" s="237"/>
      <c r="AE1150" s="237"/>
      <c r="AF1150" s="237"/>
      <c r="AG1150" s="237"/>
      <c r="AH1150" s="237"/>
      <c r="AJ1150" s="238"/>
    </row>
    <row r="1151" spans="1:39" ht="12.75" x14ac:dyDescent="0.2">
      <c r="AL1151" s="226"/>
      <c r="AM1151" s="226"/>
    </row>
    <row r="1152" spans="1:39" ht="12.75" x14ac:dyDescent="0.2">
      <c r="A1152" s="236"/>
      <c r="B1152" s="236"/>
      <c r="C1152" s="236"/>
      <c r="D1152" s="236"/>
      <c r="E1152" s="237"/>
      <c r="G1152" s="237"/>
      <c r="H1152" s="237"/>
      <c r="I1152" s="237"/>
      <c r="K1152" s="237"/>
      <c r="N1152" s="237"/>
      <c r="O1152" s="237"/>
      <c r="P1152" s="237"/>
      <c r="Q1152" s="237"/>
      <c r="AL1152" s="226"/>
      <c r="AM1152" s="226"/>
    </row>
    <row r="1153" spans="1:39" x14ac:dyDescent="0.25">
      <c r="AA1153" s="237"/>
      <c r="AB1153" s="237"/>
      <c r="AC1153" s="237"/>
      <c r="AD1153" s="237"/>
      <c r="AE1153" s="237"/>
      <c r="AF1153" s="237"/>
      <c r="AG1153" s="237"/>
      <c r="AH1153" s="237"/>
      <c r="AJ1153" s="238"/>
    </row>
    <row r="1154" spans="1:39" ht="12.75" x14ac:dyDescent="0.2">
      <c r="AL1154" s="226"/>
      <c r="AM1154" s="226"/>
    </row>
    <row r="1155" spans="1:39" ht="12.75" x14ac:dyDescent="0.2">
      <c r="A1155" s="236"/>
      <c r="B1155" s="236"/>
      <c r="C1155" s="236"/>
      <c r="D1155" s="236"/>
      <c r="E1155" s="237"/>
      <c r="G1155" s="237"/>
      <c r="H1155" s="237"/>
      <c r="I1155" s="237"/>
      <c r="K1155" s="237"/>
      <c r="N1155" s="237"/>
      <c r="O1155" s="237"/>
      <c r="P1155" s="237"/>
      <c r="Q1155" s="237"/>
      <c r="AL1155" s="226"/>
      <c r="AM1155" s="226"/>
    </row>
    <row r="1156" spans="1:39" x14ac:dyDescent="0.25">
      <c r="AA1156" s="237"/>
      <c r="AB1156" s="237"/>
      <c r="AC1156" s="237"/>
      <c r="AD1156" s="237"/>
      <c r="AE1156" s="237"/>
      <c r="AF1156" s="237"/>
      <c r="AG1156" s="237"/>
      <c r="AH1156" s="237"/>
      <c r="AJ1156" s="238"/>
    </row>
    <row r="1157" spans="1:39" x14ac:dyDescent="0.25">
      <c r="AA1157" s="237"/>
      <c r="AB1157" s="237"/>
      <c r="AC1157" s="237"/>
      <c r="AD1157" s="237"/>
      <c r="AE1157" s="237"/>
      <c r="AF1157" s="237"/>
      <c r="AG1157" s="237"/>
      <c r="AH1157" s="237"/>
      <c r="AJ1157" s="238"/>
    </row>
    <row r="1158" spans="1:39" x14ac:dyDescent="0.25">
      <c r="AA1158" s="237"/>
      <c r="AB1158" s="237"/>
      <c r="AC1158" s="237"/>
      <c r="AD1158" s="237"/>
      <c r="AE1158" s="237"/>
      <c r="AF1158" s="237"/>
      <c r="AG1158" s="237"/>
      <c r="AH1158" s="237"/>
      <c r="AJ1158" s="238"/>
    </row>
    <row r="1159" spans="1:39" x14ac:dyDescent="0.25">
      <c r="AA1159" s="237"/>
      <c r="AB1159" s="237"/>
      <c r="AC1159" s="237"/>
      <c r="AD1159" s="237"/>
      <c r="AE1159" s="237"/>
      <c r="AF1159" s="237"/>
      <c r="AG1159" s="237"/>
      <c r="AH1159" s="237"/>
      <c r="AJ1159" s="238"/>
    </row>
    <row r="1160" spans="1:39" ht="12.75" x14ac:dyDescent="0.2">
      <c r="AL1160" s="226"/>
      <c r="AM1160" s="226"/>
    </row>
    <row r="1161" spans="1:39" ht="12.75" x14ac:dyDescent="0.2">
      <c r="A1161" s="236"/>
      <c r="B1161" s="236"/>
      <c r="C1161" s="236"/>
      <c r="D1161" s="236"/>
      <c r="E1161" s="237"/>
      <c r="G1161" s="237"/>
      <c r="H1161" s="237"/>
      <c r="I1161" s="237"/>
      <c r="K1161" s="237"/>
      <c r="N1161" s="237"/>
      <c r="O1161" s="237"/>
      <c r="P1161" s="237"/>
      <c r="Q1161" s="237"/>
      <c r="AL1161" s="226"/>
      <c r="AM1161" s="226"/>
    </row>
    <row r="1162" spans="1:39" x14ac:dyDescent="0.25">
      <c r="AA1162" s="237"/>
      <c r="AB1162" s="237"/>
      <c r="AC1162" s="237"/>
      <c r="AD1162" s="237"/>
      <c r="AE1162" s="237"/>
      <c r="AF1162" s="237"/>
      <c r="AG1162" s="237"/>
      <c r="AH1162" s="237"/>
      <c r="AJ1162" s="238"/>
    </row>
    <row r="1163" spans="1:39" x14ac:dyDescent="0.25">
      <c r="AA1163" s="237"/>
      <c r="AB1163" s="237"/>
      <c r="AC1163" s="237"/>
      <c r="AD1163" s="237"/>
      <c r="AE1163" s="237"/>
      <c r="AF1163" s="237"/>
      <c r="AG1163" s="237"/>
      <c r="AH1163" s="237"/>
      <c r="AJ1163" s="238"/>
    </row>
    <row r="1164" spans="1:39" x14ac:dyDescent="0.25">
      <c r="AA1164" s="237"/>
      <c r="AB1164" s="237"/>
      <c r="AC1164" s="237"/>
      <c r="AD1164" s="237"/>
      <c r="AE1164" s="237"/>
      <c r="AF1164" s="237"/>
      <c r="AG1164" s="237"/>
      <c r="AH1164" s="237"/>
      <c r="AJ1164" s="238"/>
    </row>
    <row r="1165" spans="1:39" x14ac:dyDescent="0.25">
      <c r="AA1165" s="237"/>
      <c r="AB1165" s="237"/>
      <c r="AC1165" s="237"/>
      <c r="AD1165" s="237"/>
      <c r="AE1165" s="237"/>
      <c r="AF1165" s="237"/>
      <c r="AG1165" s="237"/>
      <c r="AH1165" s="237"/>
      <c r="AJ1165" s="238"/>
    </row>
    <row r="1166" spans="1:39" ht="12.75" x14ac:dyDescent="0.2">
      <c r="AL1166" s="226"/>
      <c r="AM1166" s="226"/>
    </row>
    <row r="1167" spans="1:39" ht="12.75" x14ac:dyDescent="0.2">
      <c r="A1167" s="236"/>
      <c r="B1167" s="236"/>
      <c r="C1167" s="236"/>
      <c r="D1167" s="236"/>
      <c r="E1167" s="237"/>
      <c r="G1167" s="237"/>
      <c r="H1167" s="237"/>
      <c r="I1167" s="237"/>
      <c r="K1167" s="237"/>
      <c r="N1167" s="237"/>
      <c r="O1167" s="237"/>
      <c r="P1167" s="237"/>
      <c r="Q1167" s="237"/>
      <c r="AL1167" s="226"/>
      <c r="AM1167" s="226"/>
    </row>
    <row r="1168" spans="1:39" x14ac:dyDescent="0.25">
      <c r="AA1168" s="237"/>
      <c r="AB1168" s="237"/>
      <c r="AC1168" s="237"/>
      <c r="AD1168" s="237"/>
      <c r="AE1168" s="237"/>
      <c r="AF1168" s="237"/>
      <c r="AG1168" s="237"/>
      <c r="AH1168" s="237"/>
      <c r="AJ1168" s="238"/>
    </row>
    <row r="1169" spans="1:39" ht="12.75" x14ac:dyDescent="0.2">
      <c r="AL1169" s="226"/>
      <c r="AM1169" s="226"/>
    </row>
    <row r="1170" spans="1:39" ht="12.75" x14ac:dyDescent="0.2">
      <c r="A1170" s="236"/>
      <c r="B1170" s="236"/>
      <c r="C1170" s="236"/>
      <c r="D1170" s="236"/>
      <c r="E1170" s="237"/>
      <c r="G1170" s="237"/>
      <c r="H1170" s="237"/>
      <c r="I1170" s="237"/>
      <c r="K1170" s="237"/>
      <c r="N1170" s="237"/>
      <c r="O1170" s="237"/>
      <c r="P1170" s="237"/>
      <c r="Q1170" s="237"/>
      <c r="AL1170" s="226"/>
      <c r="AM1170" s="226"/>
    </row>
    <row r="1171" spans="1:39" x14ac:dyDescent="0.25">
      <c r="AA1171" s="237"/>
      <c r="AB1171" s="237"/>
      <c r="AC1171" s="237"/>
      <c r="AD1171" s="237"/>
      <c r="AE1171" s="237"/>
      <c r="AF1171" s="237"/>
      <c r="AG1171" s="237"/>
      <c r="AH1171" s="237"/>
      <c r="AJ1171" s="238"/>
    </row>
    <row r="1172" spans="1:39" ht="12.75" x14ac:dyDescent="0.2">
      <c r="AL1172" s="226"/>
      <c r="AM1172" s="226"/>
    </row>
    <row r="1173" spans="1:39" ht="12.75" x14ac:dyDescent="0.2">
      <c r="A1173" s="236"/>
      <c r="B1173" s="236"/>
      <c r="C1173" s="236"/>
      <c r="D1173" s="236"/>
      <c r="E1173" s="237"/>
      <c r="G1173" s="237"/>
      <c r="H1173" s="237"/>
      <c r="I1173" s="237"/>
      <c r="K1173" s="237"/>
      <c r="N1173" s="237"/>
      <c r="O1173" s="237"/>
      <c r="P1173" s="237"/>
      <c r="Q1173" s="237"/>
      <c r="AL1173" s="226"/>
      <c r="AM1173" s="226"/>
    </row>
    <row r="1174" spans="1:39" x14ac:dyDescent="0.25">
      <c r="AA1174" s="237"/>
      <c r="AB1174" s="237"/>
      <c r="AC1174" s="237"/>
      <c r="AD1174" s="237"/>
      <c r="AE1174" s="237"/>
      <c r="AF1174" s="237"/>
      <c r="AG1174" s="237"/>
      <c r="AH1174" s="237"/>
      <c r="AJ1174" s="238"/>
    </row>
    <row r="1175" spans="1:39" x14ac:dyDescent="0.25">
      <c r="AA1175" s="237"/>
      <c r="AB1175" s="237"/>
      <c r="AC1175" s="237"/>
      <c r="AD1175" s="237"/>
      <c r="AE1175" s="237"/>
      <c r="AF1175" s="237"/>
      <c r="AG1175" s="237"/>
      <c r="AH1175" s="237"/>
      <c r="AJ1175" s="238"/>
    </row>
    <row r="1176" spans="1:39" x14ac:dyDescent="0.25">
      <c r="AA1176" s="237"/>
      <c r="AB1176" s="237"/>
      <c r="AC1176" s="237"/>
      <c r="AD1176" s="237"/>
      <c r="AE1176" s="237"/>
      <c r="AF1176" s="237"/>
      <c r="AG1176" s="237"/>
      <c r="AH1176" s="237"/>
      <c r="AJ1176" s="238"/>
    </row>
    <row r="1177" spans="1:39" x14ac:dyDescent="0.25">
      <c r="AA1177" s="237"/>
      <c r="AB1177" s="237"/>
      <c r="AC1177" s="237"/>
      <c r="AD1177" s="237"/>
      <c r="AE1177" s="237"/>
      <c r="AF1177" s="237"/>
      <c r="AG1177" s="237"/>
      <c r="AH1177" s="237"/>
      <c r="AJ1177" s="238"/>
    </row>
    <row r="1178" spans="1:39" x14ac:dyDescent="0.25">
      <c r="AA1178" s="237"/>
      <c r="AB1178" s="237"/>
      <c r="AC1178" s="237"/>
      <c r="AD1178" s="237"/>
      <c r="AE1178" s="237"/>
      <c r="AF1178" s="237"/>
      <c r="AG1178" s="237"/>
      <c r="AH1178" s="237"/>
      <c r="AJ1178" s="238"/>
    </row>
    <row r="1179" spans="1:39" x14ac:dyDescent="0.25">
      <c r="AA1179" s="237"/>
      <c r="AB1179" s="237"/>
      <c r="AC1179" s="237"/>
      <c r="AD1179" s="237"/>
      <c r="AE1179" s="237"/>
      <c r="AF1179" s="237"/>
      <c r="AG1179" s="237"/>
      <c r="AH1179" s="237"/>
      <c r="AJ1179" s="238"/>
    </row>
    <row r="1180" spans="1:39" x14ac:dyDescent="0.25">
      <c r="AA1180" s="237"/>
      <c r="AB1180" s="237"/>
      <c r="AC1180" s="237"/>
      <c r="AD1180" s="237"/>
      <c r="AE1180" s="237"/>
      <c r="AF1180" s="237"/>
      <c r="AG1180" s="237"/>
      <c r="AH1180" s="237"/>
      <c r="AJ1180" s="238"/>
    </row>
    <row r="1181" spans="1:39" ht="12.75" x14ac:dyDescent="0.2">
      <c r="AL1181" s="226"/>
      <c r="AM1181" s="226"/>
    </row>
    <row r="1182" spans="1:39" ht="12.75" x14ac:dyDescent="0.2">
      <c r="A1182" s="236"/>
      <c r="B1182" s="236"/>
      <c r="C1182" s="236"/>
      <c r="D1182" s="236"/>
      <c r="E1182" s="237"/>
      <c r="G1182" s="237"/>
      <c r="H1182" s="237"/>
      <c r="I1182" s="237"/>
      <c r="K1182" s="237"/>
      <c r="N1182" s="237"/>
      <c r="O1182" s="237"/>
      <c r="P1182" s="237"/>
      <c r="Q1182" s="237"/>
      <c r="AL1182" s="226"/>
      <c r="AM1182" s="226"/>
    </row>
    <row r="1183" spans="1:39" x14ac:dyDescent="0.25">
      <c r="AA1183" s="237"/>
      <c r="AB1183" s="237"/>
      <c r="AC1183" s="237"/>
      <c r="AD1183" s="237"/>
      <c r="AE1183" s="237"/>
      <c r="AF1183" s="237"/>
      <c r="AG1183" s="237"/>
      <c r="AH1183" s="237"/>
      <c r="AJ1183" s="238"/>
    </row>
    <row r="1184" spans="1:39" ht="12.75" x14ac:dyDescent="0.2">
      <c r="AL1184" s="226"/>
      <c r="AM1184" s="226"/>
    </row>
    <row r="1185" spans="1:39" ht="12.75" x14ac:dyDescent="0.2">
      <c r="A1185" s="236"/>
      <c r="B1185" s="236"/>
      <c r="C1185" s="236"/>
      <c r="D1185" s="236"/>
      <c r="E1185" s="237"/>
      <c r="G1185" s="237"/>
      <c r="H1185" s="237"/>
      <c r="I1185" s="237"/>
      <c r="K1185" s="237"/>
      <c r="N1185" s="237"/>
      <c r="O1185" s="237"/>
      <c r="P1185" s="237"/>
      <c r="Q1185" s="237"/>
      <c r="AL1185" s="226"/>
      <c r="AM1185" s="226"/>
    </row>
    <row r="1186" spans="1:39" x14ac:dyDescent="0.25">
      <c r="AA1186" s="237"/>
      <c r="AB1186" s="237"/>
      <c r="AC1186" s="237"/>
      <c r="AD1186" s="237"/>
      <c r="AE1186" s="237"/>
      <c r="AF1186" s="237"/>
      <c r="AG1186" s="237"/>
      <c r="AH1186" s="237"/>
      <c r="AJ1186" s="238"/>
    </row>
    <row r="1187" spans="1:39" ht="12.75" x14ac:dyDescent="0.2">
      <c r="AL1187" s="226"/>
      <c r="AM1187" s="226"/>
    </row>
    <row r="1188" spans="1:39" ht="12.75" x14ac:dyDescent="0.2">
      <c r="A1188" s="236"/>
      <c r="B1188" s="236"/>
      <c r="C1188" s="236"/>
      <c r="D1188" s="236"/>
      <c r="E1188" s="237"/>
      <c r="G1188" s="237"/>
      <c r="H1188" s="237"/>
      <c r="I1188" s="237"/>
      <c r="K1188" s="237"/>
      <c r="N1188" s="237"/>
      <c r="O1188" s="237"/>
      <c r="P1188" s="237"/>
      <c r="Q1188" s="237"/>
      <c r="AL1188" s="226"/>
      <c r="AM1188" s="226"/>
    </row>
    <row r="1189" spans="1:39" x14ac:dyDescent="0.25">
      <c r="AA1189" s="237"/>
      <c r="AB1189" s="237"/>
      <c r="AC1189" s="237"/>
      <c r="AD1189" s="237"/>
      <c r="AE1189" s="237"/>
      <c r="AF1189" s="237"/>
      <c r="AG1189" s="237"/>
      <c r="AH1189" s="237"/>
      <c r="AJ1189" s="238"/>
    </row>
    <row r="1190" spans="1:39" x14ac:dyDescent="0.25">
      <c r="AA1190" s="237"/>
      <c r="AB1190" s="237"/>
      <c r="AC1190" s="237"/>
      <c r="AD1190" s="237"/>
      <c r="AE1190" s="237"/>
      <c r="AF1190" s="237"/>
      <c r="AG1190" s="237"/>
      <c r="AH1190" s="237"/>
      <c r="AJ1190" s="238"/>
    </row>
    <row r="1191" spans="1:39" x14ac:dyDescent="0.25">
      <c r="AA1191" s="237"/>
      <c r="AB1191" s="237"/>
      <c r="AC1191" s="237"/>
      <c r="AD1191" s="237"/>
      <c r="AE1191" s="237"/>
      <c r="AF1191" s="237"/>
      <c r="AG1191" s="237"/>
      <c r="AH1191" s="237"/>
      <c r="AJ1191" s="238"/>
    </row>
    <row r="1192" spans="1:39" ht="12.75" x14ac:dyDescent="0.2">
      <c r="AL1192" s="226"/>
      <c r="AM1192" s="226"/>
    </row>
    <row r="1193" spans="1:39" ht="12.75" x14ac:dyDescent="0.2">
      <c r="A1193" s="236"/>
      <c r="B1193" s="236"/>
      <c r="C1193" s="236"/>
      <c r="D1193" s="236"/>
      <c r="E1193" s="237"/>
      <c r="G1193" s="237"/>
      <c r="H1193" s="237"/>
      <c r="I1193" s="237"/>
      <c r="K1193" s="237"/>
      <c r="N1193" s="237"/>
      <c r="O1193" s="237"/>
      <c r="P1193" s="237"/>
      <c r="Q1193" s="237"/>
      <c r="AL1193" s="226"/>
      <c r="AM1193" s="226"/>
    </row>
    <row r="1194" spans="1:39" x14ac:dyDescent="0.25">
      <c r="AA1194" s="237"/>
      <c r="AB1194" s="237"/>
      <c r="AC1194" s="237"/>
      <c r="AD1194" s="237"/>
      <c r="AE1194" s="237"/>
      <c r="AF1194" s="237"/>
      <c r="AG1194" s="237"/>
      <c r="AH1194" s="237"/>
      <c r="AJ1194" s="238"/>
    </row>
    <row r="1195" spans="1:39" ht="12.75" x14ac:dyDescent="0.2">
      <c r="AL1195" s="226"/>
      <c r="AM1195" s="226"/>
    </row>
    <row r="1196" spans="1:39" ht="12.75" x14ac:dyDescent="0.2">
      <c r="A1196" s="236"/>
      <c r="B1196" s="236"/>
      <c r="C1196" s="236"/>
      <c r="D1196" s="236"/>
      <c r="E1196" s="237"/>
      <c r="G1196" s="237"/>
      <c r="H1196" s="237"/>
      <c r="I1196" s="237"/>
      <c r="K1196" s="237"/>
      <c r="N1196" s="237"/>
      <c r="O1196" s="237"/>
      <c r="P1196" s="237"/>
      <c r="Q1196" s="237"/>
      <c r="AL1196" s="226"/>
      <c r="AM1196" s="226"/>
    </row>
    <row r="1197" spans="1:39" x14ac:dyDescent="0.25">
      <c r="AA1197" s="237"/>
      <c r="AB1197" s="237"/>
      <c r="AC1197" s="237"/>
      <c r="AD1197" s="237"/>
      <c r="AE1197" s="237"/>
      <c r="AF1197" s="237"/>
      <c r="AG1197" s="237"/>
      <c r="AH1197" s="237"/>
      <c r="AJ1197" s="238"/>
    </row>
    <row r="1198" spans="1:39" ht="12.75" x14ac:dyDescent="0.2">
      <c r="AL1198" s="226"/>
      <c r="AM1198" s="226"/>
    </row>
    <row r="1199" spans="1:39" ht="12.75" x14ac:dyDescent="0.2">
      <c r="A1199" s="236"/>
      <c r="B1199" s="236"/>
      <c r="C1199" s="236"/>
      <c r="D1199" s="236"/>
      <c r="E1199" s="237"/>
      <c r="G1199" s="237"/>
      <c r="H1199" s="237"/>
      <c r="I1199" s="237"/>
      <c r="K1199" s="237"/>
      <c r="N1199" s="237"/>
      <c r="O1199" s="237"/>
      <c r="P1199" s="237"/>
      <c r="Q1199" s="237"/>
      <c r="AL1199" s="226"/>
      <c r="AM1199" s="226"/>
    </row>
    <row r="1200" spans="1:39" x14ac:dyDescent="0.25">
      <c r="AA1200" s="237"/>
      <c r="AB1200" s="237"/>
      <c r="AC1200" s="237"/>
      <c r="AD1200" s="237"/>
      <c r="AE1200" s="237"/>
      <c r="AF1200" s="237"/>
      <c r="AG1200" s="237"/>
      <c r="AH1200" s="237"/>
      <c r="AJ1200" s="238"/>
    </row>
    <row r="1201" spans="1:39" x14ac:dyDescent="0.25">
      <c r="AA1201" s="237"/>
      <c r="AB1201" s="237"/>
      <c r="AC1201" s="237"/>
      <c r="AD1201" s="237"/>
      <c r="AE1201" s="237"/>
      <c r="AF1201" s="237"/>
      <c r="AG1201" s="237"/>
      <c r="AH1201" s="237"/>
      <c r="AJ1201" s="238"/>
    </row>
    <row r="1202" spans="1:39" x14ac:dyDescent="0.25">
      <c r="AA1202" s="237"/>
      <c r="AB1202" s="237"/>
      <c r="AC1202" s="237"/>
      <c r="AD1202" s="237"/>
      <c r="AE1202" s="237"/>
      <c r="AF1202" s="237"/>
      <c r="AG1202" s="237"/>
      <c r="AH1202" s="237"/>
      <c r="AJ1202" s="238"/>
    </row>
    <row r="1203" spans="1:39" ht="12.75" x14ac:dyDescent="0.2">
      <c r="AL1203" s="226"/>
      <c r="AM1203" s="226"/>
    </row>
    <row r="1204" spans="1:39" ht="12.75" x14ac:dyDescent="0.2">
      <c r="A1204" s="236"/>
      <c r="B1204" s="236"/>
      <c r="C1204" s="236"/>
      <c r="D1204" s="236"/>
      <c r="E1204" s="237"/>
      <c r="G1204" s="237"/>
      <c r="H1204" s="237"/>
      <c r="I1204" s="237"/>
      <c r="K1204" s="237"/>
      <c r="N1204" s="237"/>
      <c r="O1204" s="237"/>
      <c r="P1204" s="237"/>
      <c r="Q1204" s="237"/>
      <c r="AL1204" s="226"/>
      <c r="AM1204" s="226"/>
    </row>
    <row r="1205" spans="1:39" x14ac:dyDescent="0.25">
      <c r="AA1205" s="237"/>
      <c r="AB1205" s="237"/>
      <c r="AC1205" s="237"/>
      <c r="AD1205" s="237"/>
      <c r="AE1205" s="237"/>
      <c r="AF1205" s="237"/>
      <c r="AG1205" s="237"/>
      <c r="AH1205" s="237"/>
      <c r="AJ1205" s="238"/>
    </row>
    <row r="1206" spans="1:39" ht="12.75" x14ac:dyDescent="0.2">
      <c r="AL1206" s="226"/>
      <c r="AM1206" s="226"/>
    </row>
    <row r="1207" spans="1:39" ht="12.75" x14ac:dyDescent="0.2">
      <c r="A1207" s="236"/>
      <c r="B1207" s="236"/>
      <c r="C1207" s="236"/>
      <c r="D1207" s="236"/>
      <c r="E1207" s="237"/>
      <c r="G1207" s="237"/>
      <c r="H1207" s="237"/>
      <c r="I1207" s="237"/>
      <c r="K1207" s="237"/>
      <c r="N1207" s="237"/>
      <c r="O1207" s="237"/>
      <c r="P1207" s="237"/>
      <c r="Q1207" s="237"/>
      <c r="AL1207" s="226"/>
      <c r="AM1207" s="226"/>
    </row>
    <row r="1208" spans="1:39" x14ac:dyDescent="0.25">
      <c r="AA1208" s="237"/>
      <c r="AB1208" s="237"/>
      <c r="AC1208" s="237"/>
      <c r="AD1208" s="237"/>
      <c r="AE1208" s="237"/>
      <c r="AF1208" s="237"/>
      <c r="AG1208" s="237"/>
      <c r="AH1208" s="237"/>
      <c r="AJ1208" s="238"/>
    </row>
    <row r="1209" spans="1:39" x14ac:dyDescent="0.25">
      <c r="AA1209" s="237"/>
      <c r="AB1209" s="237"/>
      <c r="AC1209" s="237"/>
      <c r="AD1209" s="237"/>
      <c r="AE1209" s="237"/>
      <c r="AF1209" s="237"/>
      <c r="AG1209" s="237"/>
      <c r="AH1209" s="237"/>
      <c r="AJ1209" s="238"/>
    </row>
    <row r="1210" spans="1:39" ht="12.75" x14ac:dyDescent="0.2">
      <c r="AL1210" s="226"/>
      <c r="AM1210" s="226"/>
    </row>
    <row r="1211" spans="1:39" ht="12.75" x14ac:dyDescent="0.2">
      <c r="A1211" s="236"/>
      <c r="B1211" s="236"/>
      <c r="C1211" s="236"/>
      <c r="D1211" s="236"/>
      <c r="E1211" s="237"/>
      <c r="G1211" s="237"/>
      <c r="H1211" s="237"/>
      <c r="I1211" s="237"/>
      <c r="K1211" s="237"/>
      <c r="N1211" s="237"/>
      <c r="O1211" s="237"/>
      <c r="P1211" s="237"/>
      <c r="Q1211" s="237"/>
      <c r="AL1211" s="226"/>
      <c r="AM1211" s="226"/>
    </row>
    <row r="1212" spans="1:39" x14ac:dyDescent="0.25">
      <c r="AA1212" s="237"/>
      <c r="AB1212" s="237"/>
      <c r="AC1212" s="237"/>
      <c r="AD1212" s="237"/>
      <c r="AE1212" s="237"/>
      <c r="AF1212" s="237"/>
      <c r="AG1212" s="237"/>
      <c r="AH1212" s="237"/>
      <c r="AJ1212" s="238"/>
    </row>
    <row r="1213" spans="1:39" x14ac:dyDescent="0.25">
      <c r="AA1213" s="237"/>
      <c r="AB1213" s="237"/>
      <c r="AC1213" s="237"/>
      <c r="AD1213" s="237"/>
      <c r="AE1213" s="237"/>
      <c r="AF1213" s="237"/>
      <c r="AG1213" s="237"/>
      <c r="AH1213" s="237"/>
      <c r="AJ1213" s="238"/>
    </row>
    <row r="1214" spans="1:39" x14ac:dyDescent="0.25">
      <c r="AA1214" s="237"/>
      <c r="AB1214" s="237"/>
      <c r="AC1214" s="237"/>
      <c r="AD1214" s="237"/>
      <c r="AE1214" s="237"/>
      <c r="AF1214" s="237"/>
      <c r="AG1214" s="237"/>
      <c r="AH1214" s="237"/>
      <c r="AJ1214" s="238"/>
    </row>
    <row r="1215" spans="1:39" x14ac:dyDescent="0.25">
      <c r="AA1215" s="237"/>
      <c r="AB1215" s="237"/>
      <c r="AC1215" s="237"/>
      <c r="AD1215" s="237"/>
      <c r="AE1215" s="237"/>
      <c r="AF1215" s="237"/>
      <c r="AG1215" s="237"/>
      <c r="AH1215" s="237"/>
      <c r="AJ1215" s="238"/>
    </row>
    <row r="1216" spans="1:39" ht="12.75" x14ac:dyDescent="0.2">
      <c r="AL1216" s="226"/>
      <c r="AM1216" s="226"/>
    </row>
    <row r="1217" spans="1:39" ht="12.75" x14ac:dyDescent="0.2">
      <c r="A1217" s="236"/>
      <c r="B1217" s="236"/>
      <c r="C1217" s="236"/>
      <c r="D1217" s="236"/>
      <c r="E1217" s="237"/>
      <c r="G1217" s="237"/>
      <c r="H1217" s="237"/>
      <c r="I1217" s="237"/>
      <c r="K1217" s="237"/>
      <c r="N1217" s="237"/>
      <c r="O1217" s="237"/>
      <c r="P1217" s="237"/>
      <c r="Q1217" s="237"/>
      <c r="AL1217" s="226"/>
      <c r="AM1217" s="226"/>
    </row>
    <row r="1218" spans="1:39" x14ac:dyDescent="0.25">
      <c r="AA1218" s="237"/>
      <c r="AB1218" s="237"/>
      <c r="AC1218" s="237"/>
      <c r="AD1218" s="237"/>
      <c r="AE1218" s="237"/>
      <c r="AF1218" s="237"/>
      <c r="AG1218" s="237"/>
      <c r="AH1218" s="237"/>
      <c r="AJ1218" s="238"/>
    </row>
    <row r="1219" spans="1:39" x14ac:dyDescent="0.25">
      <c r="AA1219" s="237"/>
      <c r="AB1219" s="237"/>
      <c r="AC1219" s="237"/>
      <c r="AD1219" s="237"/>
      <c r="AE1219" s="237"/>
      <c r="AF1219" s="237"/>
      <c r="AG1219" s="237"/>
      <c r="AH1219" s="237"/>
      <c r="AJ1219" s="238"/>
    </row>
    <row r="1220" spans="1:39" x14ac:dyDescent="0.25">
      <c r="AA1220" s="237"/>
      <c r="AB1220" s="237"/>
      <c r="AC1220" s="237"/>
      <c r="AD1220" s="237"/>
      <c r="AE1220" s="237"/>
      <c r="AF1220" s="237"/>
      <c r="AG1220" s="237"/>
      <c r="AH1220" s="237"/>
      <c r="AJ1220" s="238"/>
    </row>
    <row r="1221" spans="1:39" ht="12.75" x14ac:dyDescent="0.2">
      <c r="AL1221" s="226"/>
      <c r="AM1221" s="226"/>
    </row>
    <row r="1222" spans="1:39" ht="12.75" x14ac:dyDescent="0.2">
      <c r="A1222" s="236"/>
      <c r="B1222" s="236"/>
      <c r="C1222" s="236"/>
      <c r="D1222" s="236"/>
      <c r="E1222" s="237"/>
      <c r="G1222" s="237"/>
      <c r="H1222" s="237"/>
      <c r="I1222" s="237"/>
      <c r="K1222" s="237"/>
      <c r="N1222" s="237"/>
      <c r="O1222" s="237"/>
      <c r="P1222" s="237"/>
      <c r="Q1222" s="237"/>
      <c r="AL1222" s="226"/>
      <c r="AM1222" s="226"/>
    </row>
    <row r="1223" spans="1:39" x14ac:dyDescent="0.25">
      <c r="AA1223" s="237"/>
      <c r="AB1223" s="237"/>
      <c r="AC1223" s="237"/>
      <c r="AD1223" s="237"/>
      <c r="AE1223" s="237"/>
      <c r="AF1223" s="237"/>
      <c r="AG1223" s="237"/>
      <c r="AH1223" s="237"/>
      <c r="AJ1223" s="238"/>
    </row>
    <row r="1224" spans="1:39" x14ac:dyDescent="0.25">
      <c r="AA1224" s="237"/>
      <c r="AB1224" s="237"/>
      <c r="AC1224" s="237"/>
      <c r="AD1224" s="237"/>
      <c r="AE1224" s="237"/>
      <c r="AF1224" s="237"/>
      <c r="AG1224" s="237"/>
      <c r="AH1224" s="237"/>
      <c r="AJ1224" s="238"/>
    </row>
    <row r="1225" spans="1:39" x14ac:dyDescent="0.25">
      <c r="AA1225" s="237"/>
      <c r="AB1225" s="237"/>
      <c r="AC1225" s="237"/>
      <c r="AD1225" s="237"/>
      <c r="AE1225" s="237"/>
      <c r="AF1225" s="237"/>
      <c r="AG1225" s="237"/>
      <c r="AH1225" s="237"/>
      <c r="AJ1225" s="238"/>
    </row>
    <row r="1226" spans="1:39" x14ac:dyDescent="0.25">
      <c r="AA1226" s="237"/>
      <c r="AB1226" s="237"/>
      <c r="AC1226" s="237"/>
      <c r="AD1226" s="237"/>
      <c r="AE1226" s="237"/>
      <c r="AF1226" s="237"/>
      <c r="AG1226" s="237"/>
      <c r="AH1226" s="237"/>
      <c r="AJ1226" s="238"/>
    </row>
    <row r="1227" spans="1:39" x14ac:dyDescent="0.25">
      <c r="AA1227" s="237"/>
      <c r="AB1227" s="237"/>
      <c r="AC1227" s="237"/>
      <c r="AD1227" s="237"/>
      <c r="AE1227" s="237"/>
      <c r="AF1227" s="237"/>
      <c r="AG1227" s="237"/>
      <c r="AH1227" s="237"/>
      <c r="AJ1227" s="238"/>
    </row>
    <row r="1228" spans="1:39" x14ac:dyDescent="0.25">
      <c r="AA1228" s="237"/>
      <c r="AB1228" s="237"/>
      <c r="AC1228" s="237"/>
      <c r="AD1228" s="237"/>
      <c r="AE1228" s="237"/>
      <c r="AF1228" s="237"/>
      <c r="AG1228" s="237"/>
      <c r="AH1228" s="237"/>
      <c r="AJ1228" s="238"/>
    </row>
    <row r="1229" spans="1:39" x14ac:dyDescent="0.25">
      <c r="AA1229" s="237"/>
      <c r="AB1229" s="237"/>
      <c r="AC1229" s="237"/>
      <c r="AD1229" s="237"/>
      <c r="AE1229" s="237"/>
      <c r="AF1229" s="237"/>
      <c r="AG1229" s="237"/>
      <c r="AH1229" s="237"/>
      <c r="AJ1229" s="238"/>
    </row>
    <row r="1230" spans="1:39" x14ac:dyDescent="0.25">
      <c r="AA1230" s="237"/>
      <c r="AB1230" s="237"/>
      <c r="AC1230" s="237"/>
      <c r="AD1230" s="237"/>
      <c r="AE1230" s="237"/>
      <c r="AF1230" s="237"/>
      <c r="AG1230" s="237"/>
      <c r="AH1230" s="237"/>
      <c r="AJ1230" s="238"/>
    </row>
    <row r="1231" spans="1:39" x14ac:dyDescent="0.25">
      <c r="AA1231" s="237"/>
      <c r="AB1231" s="237"/>
      <c r="AC1231" s="237"/>
      <c r="AD1231" s="237"/>
      <c r="AE1231" s="237"/>
      <c r="AF1231" s="237"/>
      <c r="AG1231" s="237"/>
      <c r="AH1231" s="237"/>
      <c r="AJ1231" s="238"/>
    </row>
    <row r="1232" spans="1:39" x14ac:dyDescent="0.25">
      <c r="AA1232" s="237"/>
      <c r="AB1232" s="237"/>
      <c r="AC1232" s="237"/>
      <c r="AD1232" s="237"/>
      <c r="AE1232" s="237"/>
      <c r="AF1232" s="237"/>
      <c r="AG1232" s="237"/>
      <c r="AH1232" s="237"/>
      <c r="AJ1232" s="238"/>
    </row>
    <row r="1233" spans="1:39" x14ac:dyDescent="0.25">
      <c r="AA1233" s="237"/>
      <c r="AB1233" s="237"/>
      <c r="AC1233" s="237"/>
      <c r="AD1233" s="237"/>
      <c r="AE1233" s="237"/>
      <c r="AF1233" s="237"/>
      <c r="AG1233" s="237"/>
      <c r="AH1233" s="237"/>
      <c r="AJ1233" s="238"/>
    </row>
    <row r="1234" spans="1:39" ht="12.75" x14ac:dyDescent="0.2">
      <c r="AL1234" s="226"/>
      <c r="AM1234" s="226"/>
    </row>
    <row r="1235" spans="1:39" ht="12.75" x14ac:dyDescent="0.2">
      <c r="A1235" s="236"/>
      <c r="B1235" s="236"/>
      <c r="C1235" s="236"/>
      <c r="D1235" s="236"/>
      <c r="E1235" s="237"/>
      <c r="G1235" s="237"/>
      <c r="H1235" s="237"/>
      <c r="I1235" s="237"/>
      <c r="K1235" s="237"/>
      <c r="N1235" s="237"/>
      <c r="O1235" s="237"/>
      <c r="P1235" s="237"/>
      <c r="Q1235" s="237"/>
      <c r="AL1235" s="226"/>
      <c r="AM1235" s="226"/>
    </row>
    <row r="1236" spans="1:39" x14ac:dyDescent="0.25">
      <c r="AA1236" s="237"/>
      <c r="AB1236" s="237"/>
      <c r="AC1236" s="237"/>
      <c r="AD1236" s="237"/>
      <c r="AE1236" s="237"/>
      <c r="AF1236" s="237"/>
      <c r="AG1236" s="237"/>
      <c r="AH1236" s="237"/>
      <c r="AJ1236" s="238"/>
    </row>
    <row r="1237" spans="1:39" x14ac:dyDescent="0.25">
      <c r="AA1237" s="237"/>
      <c r="AB1237" s="237"/>
      <c r="AC1237" s="237"/>
      <c r="AD1237" s="237"/>
      <c r="AE1237" s="237"/>
      <c r="AF1237" s="237"/>
      <c r="AG1237" s="237"/>
      <c r="AH1237" s="237"/>
      <c r="AJ1237" s="238"/>
    </row>
    <row r="1238" spans="1:39" x14ac:dyDescent="0.25">
      <c r="AA1238" s="237"/>
      <c r="AB1238" s="237"/>
      <c r="AC1238" s="237"/>
      <c r="AD1238" s="237"/>
      <c r="AE1238" s="237"/>
      <c r="AF1238" s="237"/>
      <c r="AG1238" s="237"/>
      <c r="AH1238" s="237"/>
      <c r="AJ1238" s="238"/>
    </row>
    <row r="1239" spans="1:39" x14ac:dyDescent="0.25">
      <c r="AA1239" s="237"/>
      <c r="AB1239" s="237"/>
      <c r="AC1239" s="237"/>
      <c r="AD1239" s="237"/>
      <c r="AE1239" s="237"/>
      <c r="AF1239" s="237"/>
      <c r="AG1239" s="237"/>
      <c r="AH1239" s="237"/>
      <c r="AJ1239" s="238"/>
    </row>
    <row r="1240" spans="1:39" ht="12.75" x14ac:dyDescent="0.2">
      <c r="AL1240" s="226"/>
      <c r="AM1240" s="226"/>
    </row>
    <row r="1241" spans="1:39" ht="12.75" x14ac:dyDescent="0.2">
      <c r="A1241" s="236"/>
      <c r="B1241" s="236"/>
      <c r="C1241" s="236"/>
      <c r="D1241" s="236"/>
      <c r="E1241" s="237"/>
      <c r="G1241" s="237"/>
      <c r="H1241" s="237"/>
      <c r="I1241" s="237"/>
      <c r="K1241" s="237"/>
      <c r="N1241" s="237"/>
      <c r="O1241" s="237"/>
      <c r="P1241" s="237"/>
      <c r="Q1241" s="237"/>
      <c r="AL1241" s="226"/>
      <c r="AM1241" s="226"/>
    </row>
    <row r="1242" spans="1:39" x14ac:dyDescent="0.25">
      <c r="AA1242" s="237"/>
      <c r="AB1242" s="237"/>
      <c r="AC1242" s="237"/>
      <c r="AD1242" s="237"/>
      <c r="AE1242" s="237"/>
      <c r="AF1242" s="237"/>
      <c r="AG1242" s="237"/>
      <c r="AH1242" s="237"/>
      <c r="AJ1242" s="238"/>
    </row>
    <row r="1243" spans="1:39" ht="12.75" x14ac:dyDescent="0.2">
      <c r="AL1243" s="226"/>
      <c r="AM1243" s="226"/>
    </row>
    <row r="1244" spans="1:39" ht="12.75" x14ac:dyDescent="0.2">
      <c r="A1244" s="236"/>
      <c r="B1244" s="236"/>
      <c r="C1244" s="236"/>
      <c r="D1244" s="236"/>
      <c r="E1244" s="237"/>
      <c r="G1244" s="237"/>
      <c r="H1244" s="237"/>
      <c r="I1244" s="237"/>
      <c r="K1244" s="237"/>
      <c r="N1244" s="237"/>
      <c r="O1244" s="237"/>
      <c r="P1244" s="237"/>
      <c r="Q1244" s="237"/>
      <c r="AL1244" s="226"/>
      <c r="AM1244" s="226"/>
    </row>
    <row r="1245" spans="1:39" x14ac:dyDescent="0.25">
      <c r="AA1245" s="237"/>
      <c r="AB1245" s="237"/>
      <c r="AC1245" s="237"/>
      <c r="AD1245" s="237"/>
      <c r="AE1245" s="237"/>
      <c r="AF1245" s="237"/>
      <c r="AG1245" s="237"/>
      <c r="AH1245" s="237"/>
      <c r="AJ1245" s="238"/>
    </row>
    <row r="1246" spans="1:39" x14ac:dyDescent="0.25">
      <c r="AA1246" s="237"/>
      <c r="AB1246" s="237"/>
      <c r="AC1246" s="237"/>
      <c r="AD1246" s="237"/>
      <c r="AE1246" s="237"/>
      <c r="AF1246" s="237"/>
      <c r="AG1246" s="237"/>
      <c r="AH1246" s="237"/>
      <c r="AJ1246" s="238"/>
    </row>
    <row r="1247" spans="1:39" x14ac:dyDescent="0.25">
      <c r="AA1247" s="237"/>
      <c r="AB1247" s="237"/>
      <c r="AC1247" s="237"/>
      <c r="AD1247" s="237"/>
      <c r="AE1247" s="237"/>
      <c r="AF1247" s="237"/>
      <c r="AG1247" s="237"/>
      <c r="AH1247" s="237"/>
      <c r="AJ1247" s="238"/>
    </row>
    <row r="1248" spans="1:39" ht="12.75" x14ac:dyDescent="0.2">
      <c r="AL1248" s="226"/>
      <c r="AM1248" s="226"/>
    </row>
    <row r="1249" spans="1:39" ht="12.75" x14ac:dyDescent="0.2">
      <c r="A1249" s="236"/>
      <c r="B1249" s="236"/>
      <c r="C1249" s="236"/>
      <c r="D1249" s="236"/>
      <c r="E1249" s="237"/>
      <c r="G1249" s="237"/>
      <c r="H1249" s="237"/>
      <c r="I1249" s="237"/>
      <c r="K1249" s="237"/>
      <c r="N1249" s="237"/>
      <c r="O1249" s="237"/>
      <c r="P1249" s="237"/>
      <c r="Q1249" s="237"/>
      <c r="AL1249" s="226"/>
      <c r="AM1249" s="226"/>
    </row>
    <row r="1250" spans="1:39" x14ac:dyDescent="0.25">
      <c r="AA1250" s="237"/>
      <c r="AB1250" s="237"/>
      <c r="AC1250" s="237"/>
      <c r="AD1250" s="237"/>
      <c r="AE1250" s="237"/>
      <c r="AF1250" s="237"/>
      <c r="AG1250" s="237"/>
      <c r="AH1250" s="237"/>
      <c r="AJ1250" s="238"/>
    </row>
    <row r="1251" spans="1:39" x14ac:dyDescent="0.25">
      <c r="AA1251" s="237"/>
      <c r="AB1251" s="237"/>
      <c r="AC1251" s="237"/>
      <c r="AD1251" s="237"/>
      <c r="AE1251" s="237"/>
      <c r="AF1251" s="237"/>
      <c r="AG1251" s="237"/>
      <c r="AH1251" s="237"/>
      <c r="AJ1251" s="238"/>
    </row>
    <row r="1252" spans="1:39" x14ac:dyDescent="0.25">
      <c r="AA1252" s="237"/>
      <c r="AB1252" s="237"/>
      <c r="AC1252" s="237"/>
      <c r="AD1252" s="237"/>
      <c r="AE1252" s="237"/>
      <c r="AF1252" s="237"/>
      <c r="AG1252" s="237"/>
      <c r="AH1252" s="237"/>
      <c r="AJ1252" s="238"/>
    </row>
    <row r="1253" spans="1:39" ht="12.75" x14ac:dyDescent="0.2">
      <c r="AL1253" s="226"/>
      <c r="AM1253" s="226"/>
    </row>
    <row r="1254" spans="1:39" ht="12.75" x14ac:dyDescent="0.2">
      <c r="A1254" s="236"/>
      <c r="B1254" s="236"/>
      <c r="C1254" s="236"/>
      <c r="D1254" s="236"/>
      <c r="E1254" s="237"/>
      <c r="G1254" s="237"/>
      <c r="H1254" s="237"/>
      <c r="I1254" s="237"/>
      <c r="K1254" s="237"/>
      <c r="N1254" s="237"/>
      <c r="O1254" s="237"/>
      <c r="P1254" s="237"/>
      <c r="Q1254" s="237"/>
      <c r="AL1254" s="226"/>
      <c r="AM1254" s="226"/>
    </row>
    <row r="1255" spans="1:39" x14ac:dyDescent="0.25">
      <c r="AA1255" s="237"/>
      <c r="AB1255" s="237"/>
      <c r="AC1255" s="237"/>
      <c r="AD1255" s="237"/>
      <c r="AE1255" s="237"/>
      <c r="AF1255" s="237"/>
      <c r="AG1255" s="237"/>
      <c r="AH1255" s="237"/>
      <c r="AJ1255" s="238"/>
    </row>
    <row r="1256" spans="1:39" x14ac:dyDescent="0.25">
      <c r="AA1256" s="237"/>
      <c r="AB1256" s="237"/>
      <c r="AC1256" s="237"/>
      <c r="AD1256" s="237"/>
      <c r="AE1256" s="237"/>
      <c r="AF1256" s="237"/>
      <c r="AG1256" s="237"/>
      <c r="AH1256" s="237"/>
      <c r="AJ1256" s="238"/>
    </row>
    <row r="1257" spans="1:39" x14ac:dyDescent="0.25">
      <c r="AA1257" s="237"/>
      <c r="AB1257" s="237"/>
      <c r="AC1257" s="237"/>
      <c r="AD1257" s="237"/>
      <c r="AE1257" s="237"/>
      <c r="AF1257" s="237"/>
      <c r="AG1257" s="237"/>
      <c r="AH1257" s="237"/>
      <c r="AJ1257" s="238"/>
    </row>
    <row r="1258" spans="1:39" x14ac:dyDescent="0.25">
      <c r="AA1258" s="237"/>
      <c r="AB1258" s="237"/>
      <c r="AC1258" s="237"/>
      <c r="AD1258" s="237"/>
      <c r="AE1258" s="237"/>
      <c r="AF1258" s="237"/>
      <c r="AG1258" s="237"/>
      <c r="AH1258" s="237"/>
      <c r="AJ1258" s="238"/>
    </row>
    <row r="1259" spans="1:39" ht="12.75" x14ac:dyDescent="0.2">
      <c r="AL1259" s="226"/>
      <c r="AM1259" s="226"/>
    </row>
    <row r="1260" spans="1:39" ht="12.75" x14ac:dyDescent="0.2">
      <c r="A1260" s="236"/>
      <c r="B1260" s="236"/>
      <c r="C1260" s="236"/>
      <c r="D1260" s="236"/>
      <c r="E1260" s="237"/>
      <c r="G1260" s="237"/>
      <c r="H1260" s="237"/>
      <c r="I1260" s="237"/>
      <c r="K1260" s="237"/>
      <c r="N1260" s="237"/>
      <c r="O1260" s="237"/>
      <c r="P1260" s="237"/>
      <c r="Q1260" s="237"/>
      <c r="AL1260" s="226"/>
      <c r="AM1260" s="226"/>
    </row>
    <row r="1261" spans="1:39" x14ac:dyDescent="0.25">
      <c r="AA1261" s="237"/>
      <c r="AB1261" s="237"/>
      <c r="AC1261" s="237"/>
      <c r="AD1261" s="237"/>
      <c r="AE1261" s="237"/>
      <c r="AF1261" s="237"/>
      <c r="AG1261" s="237"/>
      <c r="AH1261" s="237"/>
      <c r="AJ1261" s="238"/>
    </row>
    <row r="1262" spans="1:39" ht="12.75" x14ac:dyDescent="0.2">
      <c r="AL1262" s="226"/>
      <c r="AM1262" s="226"/>
    </row>
    <row r="1263" spans="1:39" ht="12.75" x14ac:dyDescent="0.2">
      <c r="A1263" s="236"/>
      <c r="B1263" s="236"/>
      <c r="C1263" s="236"/>
      <c r="D1263" s="236"/>
      <c r="E1263" s="237"/>
      <c r="G1263" s="237"/>
      <c r="H1263" s="237"/>
      <c r="I1263" s="237"/>
      <c r="K1263" s="237"/>
      <c r="N1263" s="237"/>
      <c r="O1263" s="237"/>
      <c r="P1263" s="237"/>
      <c r="Q1263" s="237"/>
      <c r="AL1263" s="226"/>
      <c r="AM1263" s="226"/>
    </row>
    <row r="1264" spans="1:39" ht="15.75" thickBot="1" x14ac:dyDescent="0.3">
      <c r="A1264" s="242"/>
      <c r="B1264" s="242"/>
      <c r="C1264" s="242"/>
      <c r="D1264" s="242"/>
      <c r="E1264" s="242"/>
      <c r="F1264" s="242"/>
      <c r="G1264" s="242"/>
      <c r="H1264" s="242"/>
      <c r="I1264" s="242"/>
      <c r="J1264" s="242"/>
      <c r="K1264" s="242"/>
      <c r="L1264" s="242"/>
      <c r="M1264" s="242"/>
      <c r="N1264" s="242"/>
      <c r="O1264" s="242"/>
      <c r="P1264" s="242"/>
      <c r="Q1264" s="242"/>
      <c r="R1264" s="242"/>
      <c r="S1264" s="242"/>
      <c r="T1264" s="242"/>
      <c r="U1264" s="242"/>
      <c r="V1264" s="242"/>
      <c r="W1264" s="242"/>
      <c r="Y1264" s="242"/>
      <c r="Z1264" s="242"/>
      <c r="AA1264" s="243"/>
      <c r="AB1264" s="243"/>
      <c r="AC1264" s="243"/>
      <c r="AD1264" s="243"/>
      <c r="AE1264" s="243"/>
      <c r="AF1264" s="243"/>
      <c r="AG1264" s="243"/>
      <c r="AH1264" s="243"/>
      <c r="AJ1264" s="238"/>
    </row>
    <row r="1265" spans="1:39" ht="12.75" x14ac:dyDescent="0.2">
      <c r="A1265" s="236"/>
      <c r="B1265" s="236"/>
      <c r="C1265" s="236"/>
      <c r="D1265" s="236"/>
      <c r="E1265" s="237"/>
      <c r="G1265" s="237"/>
      <c r="H1265" s="237"/>
      <c r="I1265" s="237"/>
      <c r="K1265" s="237"/>
      <c r="N1265" s="237"/>
      <c r="O1265" s="237"/>
      <c r="P1265" s="237"/>
      <c r="Q1265" s="237"/>
      <c r="AL1265" s="226"/>
      <c r="AM1265" s="226"/>
    </row>
    <row r="1266" spans="1:39" x14ac:dyDescent="0.25">
      <c r="AA1266" s="237"/>
      <c r="AB1266" s="237"/>
      <c r="AC1266" s="237"/>
      <c r="AD1266" s="237"/>
      <c r="AE1266" s="237"/>
      <c r="AF1266" s="237"/>
      <c r="AG1266" s="237"/>
      <c r="AH1266" s="237"/>
      <c r="AJ1266" s="238"/>
    </row>
    <row r="1267" spans="1:39" x14ac:dyDescent="0.25">
      <c r="AA1267" s="237"/>
      <c r="AB1267" s="237"/>
      <c r="AC1267" s="237"/>
      <c r="AD1267" s="237"/>
      <c r="AE1267" s="237"/>
      <c r="AF1267" s="237"/>
      <c r="AG1267" s="237"/>
      <c r="AH1267" s="237"/>
      <c r="AJ1267" s="238"/>
    </row>
    <row r="1268" spans="1:39" x14ac:dyDescent="0.25">
      <c r="AA1268" s="237"/>
      <c r="AB1268" s="237"/>
      <c r="AC1268" s="237"/>
      <c r="AD1268" s="237"/>
      <c r="AE1268" s="237"/>
      <c r="AF1268" s="237"/>
      <c r="AG1268" s="237"/>
      <c r="AH1268" s="237"/>
      <c r="AJ1268" s="238"/>
    </row>
    <row r="1269" spans="1:39" x14ac:dyDescent="0.25">
      <c r="AA1269" s="237"/>
      <c r="AB1269" s="237"/>
      <c r="AC1269" s="237"/>
      <c r="AD1269" s="237"/>
      <c r="AE1269" s="237"/>
      <c r="AF1269" s="237"/>
      <c r="AG1269" s="237"/>
      <c r="AH1269" s="237"/>
      <c r="AJ1269" s="238"/>
    </row>
    <row r="1270" spans="1:39" ht="12.75" x14ac:dyDescent="0.2">
      <c r="AL1270" s="226"/>
      <c r="AM1270" s="226"/>
    </row>
    <row r="1271" spans="1:39" ht="12.75" x14ac:dyDescent="0.2">
      <c r="A1271" s="236"/>
      <c r="B1271" s="236"/>
      <c r="C1271" s="236"/>
      <c r="D1271" s="236"/>
      <c r="E1271" s="237"/>
      <c r="G1271" s="237"/>
      <c r="H1271" s="237"/>
      <c r="I1271" s="237"/>
      <c r="K1271" s="237"/>
      <c r="N1271" s="237"/>
      <c r="O1271" s="237"/>
      <c r="P1271" s="237"/>
      <c r="Q1271" s="237"/>
      <c r="AL1271" s="226"/>
      <c r="AM1271" s="226"/>
    </row>
    <row r="1272" spans="1:39" x14ac:dyDescent="0.25">
      <c r="AA1272" s="237"/>
      <c r="AB1272" s="237"/>
      <c r="AC1272" s="237"/>
      <c r="AD1272" s="237"/>
      <c r="AE1272" s="237"/>
      <c r="AF1272" s="237"/>
      <c r="AG1272" s="237"/>
      <c r="AH1272" s="237"/>
      <c r="AJ1272" s="238"/>
    </row>
    <row r="1273" spans="1:39" ht="12.75" x14ac:dyDescent="0.2">
      <c r="AL1273" s="226"/>
      <c r="AM1273" s="226"/>
    </row>
    <row r="1274" spans="1:39" ht="12.75" x14ac:dyDescent="0.2">
      <c r="A1274" s="236"/>
      <c r="B1274" s="236"/>
      <c r="C1274" s="236"/>
      <c r="D1274" s="236"/>
      <c r="E1274" s="237"/>
      <c r="G1274" s="237"/>
      <c r="H1274" s="237"/>
      <c r="I1274" s="237"/>
      <c r="K1274" s="237"/>
      <c r="N1274" s="237"/>
      <c r="O1274" s="237"/>
      <c r="P1274" s="237"/>
      <c r="Q1274" s="237"/>
      <c r="AL1274" s="226"/>
      <c r="AM1274" s="226"/>
    </row>
    <row r="1275" spans="1:39" x14ac:dyDescent="0.25">
      <c r="AA1275" s="237"/>
      <c r="AB1275" s="237"/>
      <c r="AC1275" s="237"/>
      <c r="AD1275" s="237"/>
      <c r="AE1275" s="237"/>
      <c r="AF1275" s="237"/>
      <c r="AG1275" s="237"/>
      <c r="AH1275" s="237"/>
      <c r="AJ1275" s="238"/>
    </row>
    <row r="1276" spans="1:39" ht="12.75" x14ac:dyDescent="0.2">
      <c r="AL1276" s="226"/>
      <c r="AM1276" s="226"/>
    </row>
    <row r="1277" spans="1:39" ht="12.75" x14ac:dyDescent="0.2">
      <c r="A1277" s="236"/>
      <c r="B1277" s="236"/>
      <c r="C1277" s="236"/>
      <c r="D1277" s="236"/>
      <c r="E1277" s="237"/>
      <c r="G1277" s="237"/>
      <c r="H1277" s="237"/>
      <c r="I1277" s="237"/>
      <c r="K1277" s="237"/>
      <c r="N1277" s="237"/>
      <c r="O1277" s="237"/>
      <c r="P1277" s="237"/>
      <c r="Q1277" s="237"/>
      <c r="AL1277" s="226"/>
      <c r="AM1277" s="226"/>
    </row>
    <row r="1278" spans="1:39" x14ac:dyDescent="0.25">
      <c r="AA1278" s="237"/>
      <c r="AB1278" s="237"/>
      <c r="AC1278" s="237"/>
      <c r="AD1278" s="237"/>
      <c r="AE1278" s="237"/>
      <c r="AF1278" s="237"/>
      <c r="AG1278" s="237"/>
      <c r="AH1278" s="237"/>
      <c r="AJ1278" s="238"/>
    </row>
    <row r="1279" spans="1:39" x14ac:dyDescent="0.25">
      <c r="AA1279" s="237"/>
      <c r="AB1279" s="237"/>
      <c r="AC1279" s="237"/>
      <c r="AD1279" s="237"/>
      <c r="AE1279" s="237"/>
      <c r="AF1279" s="237"/>
      <c r="AG1279" s="237"/>
      <c r="AH1279" s="237"/>
      <c r="AJ1279" s="238"/>
    </row>
    <row r="1280" spans="1:39" x14ac:dyDescent="0.25">
      <c r="AA1280" s="237"/>
      <c r="AB1280" s="237"/>
      <c r="AC1280" s="237"/>
      <c r="AD1280" s="237"/>
      <c r="AE1280" s="237"/>
      <c r="AF1280" s="237"/>
      <c r="AG1280" s="237"/>
      <c r="AH1280" s="237"/>
      <c r="AJ1280" s="238"/>
    </row>
    <row r="1281" spans="1:39" ht="12.75" x14ac:dyDescent="0.2">
      <c r="AL1281" s="226"/>
      <c r="AM1281" s="226"/>
    </row>
    <row r="1282" spans="1:39" ht="12.75" x14ac:dyDescent="0.2">
      <c r="A1282" s="236"/>
      <c r="B1282" s="236"/>
      <c r="C1282" s="236"/>
      <c r="D1282" s="236"/>
      <c r="E1282" s="237"/>
      <c r="G1282" s="237"/>
      <c r="H1282" s="237"/>
      <c r="I1282" s="237"/>
      <c r="K1282" s="237"/>
      <c r="N1282" s="237"/>
      <c r="O1282" s="237"/>
      <c r="P1282" s="237"/>
      <c r="Q1282" s="237"/>
      <c r="AL1282" s="226"/>
      <c r="AM1282" s="226"/>
    </row>
    <row r="1283" spans="1:39" x14ac:dyDescent="0.25">
      <c r="AA1283" s="237"/>
      <c r="AB1283" s="237"/>
      <c r="AC1283" s="237"/>
      <c r="AD1283" s="237"/>
      <c r="AE1283" s="237"/>
      <c r="AF1283" s="237"/>
      <c r="AG1283" s="237"/>
      <c r="AH1283" s="237"/>
      <c r="AJ1283" s="238"/>
    </row>
    <row r="1284" spans="1:39" x14ac:dyDescent="0.25">
      <c r="AA1284" s="237"/>
      <c r="AB1284" s="237"/>
      <c r="AC1284" s="237"/>
      <c r="AD1284" s="237"/>
      <c r="AE1284" s="237"/>
      <c r="AF1284" s="237"/>
      <c r="AG1284" s="237"/>
      <c r="AH1284" s="237"/>
      <c r="AJ1284" s="238"/>
    </row>
    <row r="1285" spans="1:39" ht="12.75" x14ac:dyDescent="0.2">
      <c r="AL1285" s="226"/>
      <c r="AM1285" s="226"/>
    </row>
    <row r="1286" spans="1:39" ht="12.75" x14ac:dyDescent="0.2">
      <c r="A1286" s="236"/>
      <c r="B1286" s="236"/>
      <c r="C1286" s="236"/>
      <c r="D1286" s="236"/>
      <c r="E1286" s="237"/>
      <c r="G1286" s="237"/>
      <c r="H1286" s="237"/>
      <c r="I1286" s="237"/>
      <c r="K1286" s="237"/>
      <c r="N1286" s="237"/>
      <c r="O1286" s="237"/>
      <c r="P1286" s="237"/>
      <c r="Q1286" s="237"/>
      <c r="AL1286" s="226"/>
      <c r="AM1286" s="226"/>
    </row>
    <row r="1287" spans="1:39" x14ac:dyDescent="0.25">
      <c r="AA1287" s="237"/>
      <c r="AB1287" s="237"/>
      <c r="AC1287" s="237"/>
      <c r="AD1287" s="237"/>
      <c r="AE1287" s="237"/>
      <c r="AF1287" s="237"/>
      <c r="AG1287" s="237"/>
      <c r="AH1287" s="237"/>
      <c r="AJ1287" s="238"/>
    </row>
    <row r="1288" spans="1:39" ht="12.75" x14ac:dyDescent="0.2">
      <c r="AL1288" s="226"/>
      <c r="AM1288" s="226"/>
    </row>
    <row r="1289" spans="1:39" ht="12.75" x14ac:dyDescent="0.2">
      <c r="A1289" s="236"/>
      <c r="B1289" s="236"/>
      <c r="C1289" s="236"/>
      <c r="D1289" s="236"/>
      <c r="E1289" s="237"/>
      <c r="G1289" s="237"/>
      <c r="H1289" s="237"/>
      <c r="I1289" s="237"/>
      <c r="K1289" s="237"/>
      <c r="N1289" s="237"/>
      <c r="O1289" s="237"/>
      <c r="P1289" s="237"/>
      <c r="Q1289" s="237"/>
      <c r="AL1289" s="226"/>
      <c r="AM1289" s="226"/>
    </row>
    <row r="1290" spans="1:39" x14ac:dyDescent="0.25">
      <c r="AA1290" s="237"/>
      <c r="AB1290" s="237"/>
      <c r="AC1290" s="237"/>
      <c r="AD1290" s="237"/>
      <c r="AE1290" s="237"/>
      <c r="AF1290" s="237"/>
      <c r="AG1290" s="237"/>
      <c r="AH1290" s="237"/>
      <c r="AJ1290" s="238"/>
    </row>
    <row r="1291" spans="1:39" ht="12.75" x14ac:dyDescent="0.2">
      <c r="AL1291" s="226"/>
      <c r="AM1291" s="226"/>
    </row>
    <row r="1292" spans="1:39" ht="12.75" x14ac:dyDescent="0.2">
      <c r="A1292" s="236"/>
      <c r="B1292" s="236"/>
      <c r="C1292" s="236"/>
      <c r="D1292" s="236"/>
      <c r="E1292" s="237"/>
      <c r="G1292" s="237"/>
      <c r="H1292" s="237"/>
      <c r="I1292" s="237"/>
      <c r="K1292" s="237"/>
      <c r="N1292" s="237"/>
      <c r="O1292" s="237"/>
      <c r="P1292" s="237"/>
      <c r="Q1292" s="237"/>
      <c r="AL1292" s="226"/>
      <c r="AM1292" s="226"/>
    </row>
    <row r="1293" spans="1:39" x14ac:dyDescent="0.25">
      <c r="AA1293" s="237"/>
      <c r="AB1293" s="237"/>
      <c r="AC1293" s="237"/>
      <c r="AD1293" s="237"/>
      <c r="AE1293" s="237"/>
      <c r="AF1293" s="237"/>
      <c r="AG1293" s="237"/>
      <c r="AH1293" s="237"/>
      <c r="AJ1293" s="238"/>
    </row>
    <row r="1294" spans="1:39" x14ac:dyDescent="0.25">
      <c r="AA1294" s="237"/>
      <c r="AB1294" s="237"/>
      <c r="AC1294" s="237"/>
      <c r="AD1294" s="237"/>
      <c r="AE1294" s="237"/>
      <c r="AF1294" s="237"/>
      <c r="AG1294" s="237"/>
      <c r="AH1294" s="237"/>
      <c r="AJ1294" s="238"/>
    </row>
    <row r="1295" spans="1:39" ht="12.75" x14ac:dyDescent="0.2">
      <c r="AL1295" s="226"/>
      <c r="AM1295" s="226"/>
    </row>
    <row r="1296" spans="1:39" ht="12.75" x14ac:dyDescent="0.2">
      <c r="A1296" s="236"/>
      <c r="B1296" s="236"/>
      <c r="C1296" s="236"/>
      <c r="D1296" s="236"/>
      <c r="E1296" s="237"/>
      <c r="G1296" s="237"/>
      <c r="H1296" s="237"/>
      <c r="I1296" s="237"/>
      <c r="K1296" s="237"/>
      <c r="N1296" s="237"/>
      <c r="O1296" s="237"/>
      <c r="P1296" s="237"/>
      <c r="Q1296" s="237"/>
      <c r="AL1296" s="226"/>
      <c r="AM1296" s="226"/>
    </row>
    <row r="1297" spans="1:39" x14ac:dyDescent="0.25">
      <c r="AA1297" s="237"/>
      <c r="AB1297" s="237"/>
      <c r="AC1297" s="237"/>
      <c r="AD1297" s="237"/>
      <c r="AE1297" s="237"/>
      <c r="AF1297" s="237"/>
      <c r="AG1297" s="237"/>
      <c r="AH1297" s="237"/>
      <c r="AJ1297" s="238"/>
    </row>
    <row r="1298" spans="1:39" x14ac:dyDescent="0.25">
      <c r="AA1298" s="237"/>
      <c r="AB1298" s="237"/>
      <c r="AC1298" s="237"/>
      <c r="AD1298" s="237"/>
      <c r="AE1298" s="237"/>
      <c r="AF1298" s="237"/>
      <c r="AG1298" s="237"/>
      <c r="AH1298" s="237"/>
      <c r="AJ1298" s="238"/>
    </row>
    <row r="1299" spans="1:39" x14ac:dyDescent="0.25">
      <c r="AA1299" s="237"/>
      <c r="AB1299" s="237"/>
      <c r="AC1299" s="237"/>
      <c r="AD1299" s="237"/>
      <c r="AE1299" s="237"/>
      <c r="AF1299" s="237"/>
      <c r="AG1299" s="237"/>
      <c r="AH1299" s="237"/>
      <c r="AJ1299" s="238"/>
    </row>
    <row r="1300" spans="1:39" ht="12.75" x14ac:dyDescent="0.2">
      <c r="AL1300" s="226"/>
      <c r="AM1300" s="226"/>
    </row>
    <row r="1301" spans="1:39" ht="12.75" x14ac:dyDescent="0.2">
      <c r="A1301" s="236"/>
      <c r="B1301" s="236"/>
      <c r="C1301" s="236"/>
      <c r="D1301" s="236"/>
      <c r="E1301" s="237"/>
      <c r="G1301" s="237"/>
      <c r="H1301" s="237"/>
      <c r="I1301" s="237"/>
      <c r="K1301" s="237"/>
      <c r="N1301" s="237"/>
      <c r="O1301" s="237"/>
      <c r="P1301" s="237"/>
      <c r="Q1301" s="237"/>
      <c r="AL1301" s="226"/>
      <c r="AM1301" s="226"/>
    </row>
    <row r="1302" spans="1:39" x14ac:dyDescent="0.25">
      <c r="AA1302" s="237"/>
      <c r="AB1302" s="237"/>
      <c r="AC1302" s="237"/>
      <c r="AD1302" s="237"/>
      <c r="AE1302" s="237"/>
      <c r="AF1302" s="237"/>
      <c r="AG1302" s="237"/>
      <c r="AH1302" s="237"/>
      <c r="AJ1302" s="238"/>
    </row>
    <row r="1303" spans="1:39" x14ac:dyDescent="0.25">
      <c r="AA1303" s="237"/>
      <c r="AB1303" s="237"/>
      <c r="AC1303" s="237"/>
      <c r="AD1303" s="237"/>
      <c r="AE1303" s="237"/>
      <c r="AF1303" s="237"/>
      <c r="AG1303" s="237"/>
      <c r="AH1303" s="237"/>
      <c r="AJ1303" s="238"/>
    </row>
    <row r="1304" spans="1:39" x14ac:dyDescent="0.25">
      <c r="AA1304" s="237"/>
      <c r="AB1304" s="237"/>
      <c r="AC1304" s="237"/>
      <c r="AD1304" s="237"/>
      <c r="AE1304" s="237"/>
      <c r="AF1304" s="237"/>
      <c r="AG1304" s="237"/>
      <c r="AH1304" s="237"/>
      <c r="AJ1304" s="238"/>
    </row>
    <row r="1305" spans="1:39" x14ac:dyDescent="0.25">
      <c r="AA1305" s="237"/>
      <c r="AB1305" s="237"/>
      <c r="AC1305" s="237"/>
      <c r="AD1305" s="237"/>
      <c r="AE1305" s="237"/>
      <c r="AF1305" s="237"/>
      <c r="AG1305" s="237"/>
      <c r="AH1305" s="237"/>
      <c r="AJ1305" s="238"/>
    </row>
    <row r="1306" spans="1:39" x14ac:dyDescent="0.25">
      <c r="AA1306" s="237"/>
      <c r="AB1306" s="237"/>
      <c r="AC1306" s="237"/>
      <c r="AD1306" s="237"/>
      <c r="AE1306" s="237"/>
      <c r="AF1306" s="237"/>
      <c r="AG1306" s="237"/>
      <c r="AH1306" s="237"/>
      <c r="AJ1306" s="238"/>
    </row>
    <row r="1307" spans="1:39" x14ac:dyDescent="0.25">
      <c r="AA1307" s="237"/>
      <c r="AB1307" s="237"/>
      <c r="AC1307" s="237"/>
      <c r="AD1307" s="237"/>
      <c r="AE1307" s="237"/>
      <c r="AF1307" s="237"/>
      <c r="AG1307" s="237"/>
      <c r="AH1307" s="237"/>
      <c r="AJ1307" s="238"/>
    </row>
    <row r="1308" spans="1:39" ht="12.75" x14ac:dyDescent="0.2">
      <c r="AL1308" s="226"/>
      <c r="AM1308" s="226"/>
    </row>
    <row r="1309" spans="1:39" ht="12.75" x14ac:dyDescent="0.2">
      <c r="A1309" s="236"/>
      <c r="B1309" s="236"/>
      <c r="C1309" s="236"/>
      <c r="D1309" s="236"/>
      <c r="E1309" s="237"/>
      <c r="G1309" s="237"/>
      <c r="H1309" s="237"/>
      <c r="I1309" s="237"/>
      <c r="K1309" s="237"/>
      <c r="N1309" s="237"/>
      <c r="O1309" s="237"/>
      <c r="P1309" s="237"/>
      <c r="Q1309" s="237"/>
      <c r="AL1309" s="226"/>
      <c r="AM1309" s="226"/>
    </row>
    <row r="1310" spans="1:39" x14ac:dyDescent="0.25">
      <c r="AA1310" s="237"/>
      <c r="AB1310" s="237"/>
      <c r="AC1310" s="237"/>
      <c r="AD1310" s="237"/>
      <c r="AE1310" s="237"/>
      <c r="AF1310" s="237"/>
      <c r="AG1310" s="237"/>
      <c r="AH1310" s="237"/>
      <c r="AJ1310" s="238"/>
    </row>
    <row r="1311" spans="1:39" x14ac:dyDescent="0.25">
      <c r="AA1311" s="237"/>
      <c r="AB1311" s="237"/>
      <c r="AC1311" s="237"/>
      <c r="AD1311" s="237"/>
      <c r="AE1311" s="237"/>
      <c r="AF1311" s="237"/>
      <c r="AG1311" s="237"/>
      <c r="AH1311" s="237"/>
      <c r="AJ1311" s="238"/>
    </row>
    <row r="1312" spans="1:39" x14ac:dyDescent="0.25">
      <c r="AA1312" s="237"/>
      <c r="AB1312" s="237"/>
      <c r="AC1312" s="237"/>
      <c r="AD1312" s="237"/>
      <c r="AE1312" s="237"/>
      <c r="AF1312" s="237"/>
      <c r="AG1312" s="237"/>
      <c r="AH1312" s="237"/>
      <c r="AJ1312" s="238"/>
    </row>
    <row r="1313" spans="1:39" x14ac:dyDescent="0.25">
      <c r="AA1313" s="237"/>
      <c r="AB1313" s="237"/>
      <c r="AC1313" s="237"/>
      <c r="AD1313" s="237"/>
      <c r="AE1313" s="237"/>
      <c r="AF1313" s="237"/>
      <c r="AG1313" s="237"/>
      <c r="AH1313" s="237"/>
      <c r="AJ1313" s="238"/>
    </row>
    <row r="1314" spans="1:39" x14ac:dyDescent="0.25">
      <c r="AA1314" s="237"/>
      <c r="AB1314" s="237"/>
      <c r="AC1314" s="237"/>
      <c r="AD1314" s="237"/>
      <c r="AE1314" s="237"/>
      <c r="AF1314" s="237"/>
      <c r="AG1314" s="237"/>
      <c r="AH1314" s="237"/>
      <c r="AJ1314" s="238"/>
    </row>
    <row r="1315" spans="1:39" x14ac:dyDescent="0.25">
      <c r="AA1315" s="237"/>
      <c r="AB1315" s="237"/>
      <c r="AC1315" s="237"/>
      <c r="AD1315" s="237"/>
      <c r="AE1315" s="237"/>
      <c r="AF1315" s="237"/>
      <c r="AG1315" s="237"/>
      <c r="AH1315" s="237"/>
      <c r="AJ1315" s="238"/>
    </row>
    <row r="1316" spans="1:39" x14ac:dyDescent="0.25">
      <c r="AA1316" s="237"/>
      <c r="AB1316" s="237"/>
      <c r="AC1316" s="237"/>
      <c r="AD1316" s="237"/>
      <c r="AE1316" s="237"/>
      <c r="AF1316" s="237"/>
      <c r="AG1316" s="237"/>
      <c r="AH1316" s="237"/>
      <c r="AJ1316" s="238"/>
    </row>
    <row r="1317" spans="1:39" x14ac:dyDescent="0.25">
      <c r="AA1317" s="237"/>
      <c r="AB1317" s="237"/>
      <c r="AC1317" s="237"/>
      <c r="AD1317" s="237"/>
      <c r="AE1317" s="237"/>
      <c r="AF1317" s="237"/>
      <c r="AG1317" s="237"/>
      <c r="AH1317" s="237"/>
      <c r="AJ1317" s="238"/>
    </row>
    <row r="1318" spans="1:39" x14ac:dyDescent="0.25">
      <c r="AA1318" s="237"/>
      <c r="AB1318" s="237"/>
      <c r="AC1318" s="237"/>
      <c r="AD1318" s="237"/>
      <c r="AE1318" s="237"/>
      <c r="AF1318" s="237"/>
      <c r="AG1318" s="237"/>
      <c r="AH1318" s="237"/>
      <c r="AJ1318" s="238"/>
    </row>
    <row r="1319" spans="1:39" x14ac:dyDescent="0.25">
      <c r="AA1319" s="237"/>
      <c r="AB1319" s="237"/>
      <c r="AC1319" s="237"/>
      <c r="AD1319" s="237"/>
      <c r="AE1319" s="237"/>
      <c r="AF1319" s="237"/>
      <c r="AG1319" s="237"/>
      <c r="AH1319" s="237"/>
      <c r="AJ1319" s="238"/>
    </row>
    <row r="1320" spans="1:39" ht="12.75" x14ac:dyDescent="0.2">
      <c r="AL1320" s="226"/>
      <c r="AM1320" s="226"/>
    </row>
    <row r="1321" spans="1:39" ht="12.75" x14ac:dyDescent="0.2">
      <c r="A1321" s="236"/>
      <c r="B1321" s="236"/>
      <c r="C1321" s="236"/>
      <c r="D1321" s="236"/>
      <c r="E1321" s="237"/>
      <c r="G1321" s="237"/>
      <c r="H1321" s="237"/>
      <c r="I1321" s="237"/>
      <c r="K1321" s="237"/>
      <c r="N1321" s="237"/>
      <c r="O1321" s="237"/>
      <c r="P1321" s="237"/>
      <c r="Q1321" s="237"/>
      <c r="AL1321" s="226"/>
      <c r="AM1321" s="226"/>
    </row>
    <row r="1322" spans="1:39" x14ac:dyDescent="0.25">
      <c r="AA1322" s="237"/>
      <c r="AB1322" s="237"/>
      <c r="AC1322" s="237"/>
      <c r="AD1322" s="237"/>
      <c r="AE1322" s="237"/>
      <c r="AF1322" s="237"/>
      <c r="AG1322" s="237"/>
      <c r="AH1322" s="237"/>
      <c r="AJ1322" s="238"/>
    </row>
    <row r="1323" spans="1:39" x14ac:dyDescent="0.25">
      <c r="AA1323" s="237"/>
      <c r="AB1323" s="237"/>
      <c r="AC1323" s="237"/>
      <c r="AD1323" s="237"/>
      <c r="AE1323" s="237"/>
      <c r="AF1323" s="237"/>
      <c r="AG1323" s="237"/>
      <c r="AH1323" s="237"/>
      <c r="AJ1323" s="238"/>
    </row>
    <row r="1324" spans="1:39" x14ac:dyDescent="0.25">
      <c r="AA1324" s="237"/>
      <c r="AB1324" s="237"/>
      <c r="AC1324" s="237"/>
      <c r="AD1324" s="237"/>
      <c r="AE1324" s="237"/>
      <c r="AF1324" s="237"/>
      <c r="AG1324" s="237"/>
      <c r="AH1324" s="237"/>
      <c r="AJ1324" s="238"/>
    </row>
    <row r="1325" spans="1:39" x14ac:dyDescent="0.25">
      <c r="AA1325" s="237"/>
      <c r="AB1325" s="237"/>
      <c r="AC1325" s="237"/>
      <c r="AD1325" s="237"/>
      <c r="AE1325" s="237"/>
      <c r="AF1325" s="237"/>
      <c r="AG1325" s="237"/>
      <c r="AH1325" s="237"/>
      <c r="AJ1325" s="238"/>
    </row>
    <row r="1326" spans="1:39" ht="12.75" x14ac:dyDescent="0.2">
      <c r="AL1326" s="226"/>
      <c r="AM1326" s="226"/>
    </row>
    <row r="1327" spans="1:39" ht="12.75" x14ac:dyDescent="0.2">
      <c r="A1327" s="236"/>
      <c r="B1327" s="236"/>
      <c r="C1327" s="236"/>
      <c r="D1327" s="236"/>
      <c r="E1327" s="237"/>
      <c r="G1327" s="237"/>
      <c r="H1327" s="237"/>
      <c r="I1327" s="237"/>
      <c r="K1327" s="237"/>
      <c r="N1327" s="237"/>
      <c r="O1327" s="237"/>
      <c r="P1327" s="237"/>
      <c r="Q1327" s="237"/>
      <c r="AL1327" s="226"/>
      <c r="AM1327" s="226"/>
    </row>
    <row r="1328" spans="1:39" x14ac:dyDescent="0.25">
      <c r="AA1328" s="237"/>
      <c r="AB1328" s="237"/>
      <c r="AC1328" s="237"/>
      <c r="AD1328" s="237"/>
      <c r="AE1328" s="237"/>
      <c r="AF1328" s="237"/>
      <c r="AG1328" s="237"/>
      <c r="AH1328" s="237"/>
      <c r="AJ1328" s="238"/>
    </row>
    <row r="1329" spans="1:39" x14ac:dyDescent="0.25">
      <c r="AA1329" s="237"/>
      <c r="AB1329" s="237"/>
      <c r="AC1329" s="237"/>
      <c r="AD1329" s="237"/>
      <c r="AE1329" s="237"/>
      <c r="AF1329" s="237"/>
      <c r="AG1329" s="237"/>
      <c r="AH1329" s="237"/>
      <c r="AJ1329" s="238"/>
    </row>
    <row r="1330" spans="1:39" x14ac:dyDescent="0.25">
      <c r="AA1330" s="237"/>
      <c r="AB1330" s="237"/>
      <c r="AC1330" s="237"/>
      <c r="AD1330" s="237"/>
      <c r="AE1330" s="237"/>
      <c r="AF1330" s="237"/>
      <c r="AG1330" s="237"/>
      <c r="AH1330" s="237"/>
      <c r="AJ1330" s="238"/>
    </row>
    <row r="1331" spans="1:39" x14ac:dyDescent="0.25">
      <c r="AA1331" s="237"/>
      <c r="AB1331" s="237"/>
      <c r="AC1331" s="237"/>
      <c r="AD1331" s="237"/>
      <c r="AE1331" s="237"/>
      <c r="AF1331" s="237"/>
      <c r="AG1331" s="237"/>
      <c r="AH1331" s="237"/>
      <c r="AJ1331" s="238"/>
    </row>
    <row r="1332" spans="1:39" x14ac:dyDescent="0.25">
      <c r="AA1332" s="237"/>
      <c r="AB1332" s="237"/>
      <c r="AC1332" s="237"/>
      <c r="AD1332" s="237"/>
      <c r="AE1332" s="237"/>
      <c r="AF1332" s="237"/>
      <c r="AG1332" s="237"/>
      <c r="AH1332" s="237"/>
      <c r="AJ1332" s="238"/>
    </row>
    <row r="1333" spans="1:39" ht="12.75" x14ac:dyDescent="0.2">
      <c r="AL1333" s="226"/>
      <c r="AM1333" s="226"/>
    </row>
    <row r="1334" spans="1:39" ht="12.75" x14ac:dyDescent="0.2">
      <c r="A1334" s="236"/>
      <c r="B1334" s="236"/>
      <c r="C1334" s="236"/>
      <c r="D1334" s="236"/>
      <c r="E1334" s="237"/>
      <c r="G1334" s="237"/>
      <c r="H1334" s="237"/>
      <c r="I1334" s="237"/>
      <c r="K1334" s="237"/>
      <c r="N1334" s="237"/>
      <c r="O1334" s="237"/>
      <c r="P1334" s="237"/>
      <c r="Q1334" s="237"/>
      <c r="AL1334" s="226"/>
      <c r="AM1334" s="226"/>
    </row>
    <row r="1335" spans="1:39" x14ac:dyDescent="0.25">
      <c r="AA1335" s="237"/>
      <c r="AB1335" s="237"/>
      <c r="AC1335" s="237"/>
      <c r="AD1335" s="237"/>
      <c r="AE1335" s="237"/>
      <c r="AF1335" s="237"/>
      <c r="AG1335" s="237"/>
      <c r="AH1335" s="237"/>
      <c r="AJ1335" s="238"/>
    </row>
    <row r="1336" spans="1:39" x14ac:dyDescent="0.25">
      <c r="AA1336" s="237"/>
      <c r="AB1336" s="237"/>
      <c r="AC1336" s="237"/>
      <c r="AD1336" s="237"/>
      <c r="AE1336" s="237"/>
      <c r="AF1336" s="237"/>
      <c r="AG1336" s="237"/>
      <c r="AH1336" s="237"/>
      <c r="AJ1336" s="238"/>
    </row>
    <row r="1337" spans="1:39" x14ac:dyDescent="0.25">
      <c r="AA1337" s="237"/>
      <c r="AB1337" s="237"/>
      <c r="AC1337" s="237"/>
      <c r="AD1337" s="237"/>
      <c r="AE1337" s="237"/>
      <c r="AF1337" s="237"/>
      <c r="AG1337" s="237"/>
      <c r="AH1337" s="237"/>
      <c r="AJ1337" s="238"/>
    </row>
    <row r="1338" spans="1:39" x14ac:dyDescent="0.25">
      <c r="AA1338" s="237"/>
      <c r="AB1338" s="237"/>
      <c r="AC1338" s="237"/>
      <c r="AD1338" s="237"/>
      <c r="AE1338" s="237"/>
      <c r="AF1338" s="237"/>
      <c r="AG1338" s="237"/>
      <c r="AH1338" s="237"/>
      <c r="AJ1338" s="238"/>
    </row>
    <row r="1339" spans="1:39" x14ac:dyDescent="0.25">
      <c r="AA1339" s="237"/>
      <c r="AB1339" s="237"/>
      <c r="AC1339" s="237"/>
      <c r="AD1339" s="237"/>
      <c r="AE1339" s="237"/>
      <c r="AF1339" s="237"/>
      <c r="AG1339" s="237"/>
      <c r="AH1339" s="237"/>
      <c r="AJ1339" s="238"/>
    </row>
    <row r="1340" spans="1:39" x14ac:dyDescent="0.25">
      <c r="AA1340" s="237"/>
      <c r="AB1340" s="237"/>
      <c r="AC1340" s="237"/>
      <c r="AD1340" s="237"/>
      <c r="AE1340" s="237"/>
      <c r="AF1340" s="237"/>
      <c r="AG1340" s="237"/>
      <c r="AH1340" s="237"/>
      <c r="AJ1340" s="238"/>
    </row>
    <row r="1341" spans="1:39" x14ac:dyDescent="0.25">
      <c r="AA1341" s="237"/>
      <c r="AB1341" s="237"/>
      <c r="AC1341" s="237"/>
      <c r="AD1341" s="237"/>
      <c r="AE1341" s="237"/>
      <c r="AF1341" s="237"/>
      <c r="AG1341" s="237"/>
      <c r="AH1341" s="237"/>
      <c r="AJ1341" s="238"/>
    </row>
    <row r="1342" spans="1:39" x14ac:dyDescent="0.25">
      <c r="AA1342" s="237"/>
      <c r="AB1342" s="237"/>
      <c r="AC1342" s="237"/>
      <c r="AD1342" s="237"/>
      <c r="AE1342" s="237"/>
      <c r="AF1342" s="237"/>
      <c r="AG1342" s="237"/>
      <c r="AH1342" s="237"/>
      <c r="AJ1342" s="238"/>
    </row>
    <row r="1343" spans="1:39" ht="12.75" x14ac:dyDescent="0.2">
      <c r="AL1343" s="226"/>
      <c r="AM1343" s="226"/>
    </row>
    <row r="1344" spans="1:39" ht="12.75" x14ac:dyDescent="0.2">
      <c r="A1344" s="236"/>
      <c r="B1344" s="236"/>
      <c r="C1344" s="236"/>
      <c r="D1344" s="236"/>
      <c r="E1344" s="237"/>
      <c r="G1344" s="237"/>
      <c r="H1344" s="237"/>
      <c r="I1344" s="237"/>
      <c r="K1344" s="237"/>
      <c r="N1344" s="237"/>
      <c r="O1344" s="237"/>
      <c r="P1344" s="237"/>
      <c r="Q1344" s="237"/>
      <c r="AL1344" s="226"/>
      <c r="AM1344" s="226"/>
    </row>
    <row r="1345" spans="1:39" x14ac:dyDescent="0.25">
      <c r="AA1345" s="237"/>
      <c r="AB1345" s="237"/>
      <c r="AC1345" s="237"/>
      <c r="AD1345" s="237"/>
      <c r="AE1345" s="237"/>
      <c r="AF1345" s="237"/>
      <c r="AG1345" s="237"/>
      <c r="AH1345" s="237"/>
      <c r="AJ1345" s="238"/>
    </row>
    <row r="1346" spans="1:39" ht="12.75" x14ac:dyDescent="0.2">
      <c r="AL1346" s="226"/>
      <c r="AM1346" s="226"/>
    </row>
    <row r="1347" spans="1:39" ht="12.75" x14ac:dyDescent="0.2">
      <c r="A1347" s="236"/>
      <c r="B1347" s="236"/>
      <c r="C1347" s="236"/>
      <c r="D1347" s="236"/>
      <c r="E1347" s="237"/>
      <c r="G1347" s="237"/>
      <c r="H1347" s="237"/>
      <c r="I1347" s="237"/>
      <c r="K1347" s="237"/>
      <c r="N1347" s="237"/>
      <c r="O1347" s="237"/>
      <c r="P1347" s="237"/>
      <c r="Q1347" s="237"/>
      <c r="AL1347" s="226"/>
      <c r="AM1347" s="226"/>
    </row>
    <row r="1348" spans="1:39" x14ac:dyDescent="0.25">
      <c r="AA1348" s="237"/>
      <c r="AB1348" s="237"/>
      <c r="AC1348" s="237"/>
      <c r="AD1348" s="237"/>
      <c r="AE1348" s="237"/>
      <c r="AF1348" s="237"/>
      <c r="AG1348" s="237"/>
      <c r="AH1348" s="237"/>
      <c r="AJ1348" s="238"/>
    </row>
    <row r="1349" spans="1:39" x14ac:dyDescent="0.25">
      <c r="AA1349" s="237"/>
      <c r="AB1349" s="237"/>
      <c r="AC1349" s="237"/>
      <c r="AD1349" s="237"/>
      <c r="AE1349" s="237"/>
      <c r="AF1349" s="237"/>
      <c r="AG1349" s="237"/>
      <c r="AH1349" s="237"/>
      <c r="AJ1349" s="238"/>
    </row>
    <row r="1350" spans="1:39" ht="12.75" x14ac:dyDescent="0.2">
      <c r="AL1350" s="226"/>
      <c r="AM1350" s="226"/>
    </row>
    <row r="1351" spans="1:39" ht="12.75" x14ac:dyDescent="0.2">
      <c r="A1351" s="236"/>
      <c r="B1351" s="236"/>
      <c r="C1351" s="236"/>
      <c r="D1351" s="236"/>
      <c r="E1351" s="237"/>
      <c r="G1351" s="237"/>
      <c r="H1351" s="237"/>
      <c r="I1351" s="237"/>
      <c r="K1351" s="237"/>
      <c r="N1351" s="237"/>
      <c r="O1351" s="237"/>
      <c r="P1351" s="237"/>
      <c r="Q1351" s="237"/>
      <c r="AL1351" s="226"/>
      <c r="AM1351" s="226"/>
    </row>
    <row r="1352" spans="1:39" x14ac:dyDescent="0.25">
      <c r="AA1352" s="237"/>
      <c r="AB1352" s="237"/>
      <c r="AC1352" s="237"/>
      <c r="AD1352" s="237"/>
      <c r="AE1352" s="237"/>
      <c r="AF1352" s="237"/>
      <c r="AG1352" s="237"/>
      <c r="AH1352" s="237"/>
      <c r="AJ1352" s="238"/>
    </row>
    <row r="1353" spans="1:39" x14ac:dyDescent="0.25">
      <c r="AA1353" s="237"/>
      <c r="AB1353" s="237"/>
      <c r="AC1353" s="237"/>
      <c r="AD1353" s="237"/>
      <c r="AE1353" s="237"/>
      <c r="AF1353" s="237"/>
      <c r="AG1353" s="237"/>
      <c r="AH1353" s="237"/>
      <c r="AJ1353" s="238"/>
    </row>
    <row r="1354" spans="1:39" x14ac:dyDescent="0.25">
      <c r="AA1354" s="237"/>
      <c r="AB1354" s="237"/>
      <c r="AC1354" s="237"/>
      <c r="AD1354" s="237"/>
      <c r="AE1354" s="237"/>
      <c r="AF1354" s="237"/>
      <c r="AG1354" s="237"/>
      <c r="AH1354" s="237"/>
      <c r="AJ1354" s="238"/>
    </row>
    <row r="1355" spans="1:39" x14ac:dyDescent="0.25">
      <c r="AA1355" s="237"/>
      <c r="AB1355" s="237"/>
      <c r="AC1355" s="237"/>
      <c r="AD1355" s="237"/>
      <c r="AE1355" s="237"/>
      <c r="AF1355" s="237"/>
      <c r="AG1355" s="237"/>
      <c r="AH1355" s="237"/>
      <c r="AJ1355" s="238"/>
    </row>
    <row r="1356" spans="1:39" x14ac:dyDescent="0.25">
      <c r="AA1356" s="237"/>
      <c r="AB1356" s="237"/>
      <c r="AC1356" s="237"/>
      <c r="AD1356" s="237"/>
      <c r="AE1356" s="237"/>
      <c r="AF1356" s="237"/>
      <c r="AG1356" s="237"/>
      <c r="AH1356" s="237"/>
      <c r="AJ1356" s="238"/>
    </row>
    <row r="1357" spans="1:39" x14ac:dyDescent="0.25">
      <c r="AA1357" s="237"/>
      <c r="AB1357" s="237"/>
      <c r="AC1357" s="237"/>
      <c r="AD1357" s="237"/>
      <c r="AE1357" s="237"/>
      <c r="AF1357" s="237"/>
      <c r="AG1357" s="237"/>
      <c r="AH1357" s="237"/>
      <c r="AJ1357" s="238"/>
    </row>
    <row r="1358" spans="1:39" ht="12.75" x14ac:dyDescent="0.2">
      <c r="AL1358" s="226"/>
      <c r="AM1358" s="226"/>
    </row>
    <row r="1359" spans="1:39" ht="12.75" x14ac:dyDescent="0.2">
      <c r="A1359" s="236"/>
      <c r="B1359" s="236"/>
      <c r="C1359" s="236"/>
      <c r="D1359" s="236"/>
      <c r="E1359" s="237"/>
      <c r="G1359" s="237"/>
      <c r="H1359" s="237"/>
      <c r="I1359" s="237"/>
      <c r="K1359" s="237"/>
      <c r="N1359" s="237"/>
      <c r="O1359" s="237"/>
      <c r="P1359" s="237"/>
      <c r="Q1359" s="237"/>
      <c r="AL1359" s="226"/>
      <c r="AM1359" s="226"/>
    </row>
    <row r="1360" spans="1:39" x14ac:dyDescent="0.25">
      <c r="AA1360" s="237"/>
      <c r="AB1360" s="237"/>
      <c r="AC1360" s="237"/>
      <c r="AD1360" s="237"/>
      <c r="AE1360" s="237"/>
      <c r="AF1360" s="237"/>
      <c r="AG1360" s="237"/>
      <c r="AH1360" s="237"/>
      <c r="AJ1360" s="238"/>
    </row>
    <row r="1361" spans="1:39" x14ac:dyDescent="0.25">
      <c r="AA1361" s="237"/>
      <c r="AB1361" s="237"/>
      <c r="AC1361" s="237"/>
      <c r="AD1361" s="237"/>
      <c r="AE1361" s="237"/>
      <c r="AF1361" s="237"/>
      <c r="AG1361" s="237"/>
      <c r="AH1361" s="237"/>
      <c r="AJ1361" s="238"/>
    </row>
    <row r="1362" spans="1:39" ht="12.75" x14ac:dyDescent="0.2">
      <c r="AL1362" s="226"/>
      <c r="AM1362" s="226"/>
    </row>
    <row r="1363" spans="1:39" ht="12.75" x14ac:dyDescent="0.2">
      <c r="A1363" s="236"/>
      <c r="B1363" s="236"/>
      <c r="C1363" s="236"/>
      <c r="D1363" s="236"/>
      <c r="E1363" s="237"/>
      <c r="G1363" s="237"/>
      <c r="H1363" s="237"/>
      <c r="I1363" s="237"/>
      <c r="K1363" s="237"/>
      <c r="N1363" s="237"/>
      <c r="O1363" s="237"/>
      <c r="P1363" s="237"/>
      <c r="Q1363" s="237"/>
      <c r="AL1363" s="226"/>
      <c r="AM1363" s="226"/>
    </row>
    <row r="1364" spans="1:39" x14ac:dyDescent="0.25">
      <c r="AA1364" s="237"/>
      <c r="AB1364" s="237"/>
      <c r="AC1364" s="237"/>
      <c r="AD1364" s="237"/>
      <c r="AE1364" s="237"/>
      <c r="AF1364" s="237"/>
      <c r="AG1364" s="237"/>
      <c r="AH1364" s="237"/>
      <c r="AJ1364" s="238"/>
    </row>
    <row r="1365" spans="1:39" ht="12.75" x14ac:dyDescent="0.2">
      <c r="AL1365" s="226"/>
      <c r="AM1365" s="226"/>
    </row>
    <row r="1366" spans="1:39" ht="12.75" x14ac:dyDescent="0.2">
      <c r="A1366" s="236"/>
      <c r="B1366" s="236"/>
      <c r="C1366" s="236"/>
      <c r="D1366" s="236"/>
      <c r="E1366" s="237"/>
      <c r="G1366" s="237"/>
      <c r="H1366" s="237"/>
      <c r="I1366" s="237"/>
      <c r="K1366" s="237"/>
      <c r="N1366" s="237"/>
      <c r="O1366" s="237"/>
      <c r="P1366" s="237"/>
      <c r="Q1366" s="237"/>
      <c r="AL1366" s="226"/>
      <c r="AM1366" s="226"/>
    </row>
    <row r="1367" spans="1:39" x14ac:dyDescent="0.25">
      <c r="AA1367" s="237"/>
      <c r="AB1367" s="237"/>
      <c r="AC1367" s="237"/>
      <c r="AD1367" s="237"/>
      <c r="AE1367" s="237"/>
      <c r="AF1367" s="237"/>
      <c r="AG1367" s="237"/>
      <c r="AH1367" s="237"/>
      <c r="AJ1367" s="238"/>
    </row>
    <row r="1368" spans="1:39" x14ac:dyDescent="0.25">
      <c r="AA1368" s="237"/>
      <c r="AB1368" s="237"/>
      <c r="AC1368" s="237"/>
      <c r="AD1368" s="237"/>
      <c r="AE1368" s="237"/>
      <c r="AF1368" s="237"/>
      <c r="AG1368" s="237"/>
      <c r="AH1368" s="237"/>
      <c r="AJ1368" s="238"/>
    </row>
    <row r="1369" spans="1:39" ht="12.75" x14ac:dyDescent="0.2">
      <c r="AL1369" s="226"/>
      <c r="AM1369" s="226"/>
    </row>
    <row r="1370" spans="1:39" ht="12.75" x14ac:dyDescent="0.2">
      <c r="A1370" s="236"/>
      <c r="B1370" s="236"/>
      <c r="C1370" s="236"/>
      <c r="D1370" s="236"/>
      <c r="E1370" s="237"/>
      <c r="G1370" s="237"/>
      <c r="H1370" s="237"/>
      <c r="I1370" s="237"/>
      <c r="K1370" s="237"/>
      <c r="N1370" s="237"/>
      <c r="O1370" s="237"/>
      <c r="P1370" s="237"/>
      <c r="Q1370" s="237"/>
      <c r="AL1370" s="226"/>
      <c r="AM1370" s="226"/>
    </row>
    <row r="1371" spans="1:39" x14ac:dyDescent="0.25">
      <c r="AA1371" s="237"/>
      <c r="AB1371" s="237"/>
      <c r="AC1371" s="237"/>
      <c r="AD1371" s="237"/>
      <c r="AE1371" s="237"/>
      <c r="AF1371" s="237"/>
      <c r="AG1371" s="237"/>
      <c r="AH1371" s="237"/>
      <c r="AJ1371" s="238"/>
    </row>
    <row r="1372" spans="1:39" x14ac:dyDescent="0.25">
      <c r="AA1372" s="237"/>
      <c r="AB1372" s="237"/>
      <c r="AC1372" s="237"/>
      <c r="AD1372" s="237"/>
      <c r="AE1372" s="237"/>
      <c r="AF1372" s="237"/>
      <c r="AG1372" s="237"/>
      <c r="AH1372" s="237"/>
      <c r="AJ1372" s="238"/>
    </row>
    <row r="1373" spans="1:39" ht="12.75" x14ac:dyDescent="0.2">
      <c r="AL1373" s="226"/>
      <c r="AM1373" s="226"/>
    </row>
    <row r="1374" spans="1:39" ht="12.75" x14ac:dyDescent="0.2">
      <c r="A1374" s="236"/>
      <c r="B1374" s="236"/>
      <c r="C1374" s="236"/>
      <c r="D1374" s="236"/>
      <c r="E1374" s="237"/>
      <c r="G1374" s="237"/>
      <c r="H1374" s="237"/>
      <c r="I1374" s="237"/>
      <c r="K1374" s="237"/>
      <c r="N1374" s="237"/>
      <c r="O1374" s="237"/>
      <c r="P1374" s="237"/>
      <c r="Q1374" s="237"/>
      <c r="AL1374" s="226"/>
      <c r="AM1374" s="226"/>
    </row>
    <row r="1375" spans="1:39" x14ac:dyDescent="0.25">
      <c r="AA1375" s="237"/>
      <c r="AB1375" s="237"/>
      <c r="AC1375" s="237"/>
      <c r="AD1375" s="237"/>
      <c r="AE1375" s="237"/>
      <c r="AF1375" s="237"/>
      <c r="AG1375" s="237"/>
      <c r="AH1375" s="237"/>
      <c r="AJ1375" s="238"/>
    </row>
    <row r="1376" spans="1:39" ht="12.75" x14ac:dyDescent="0.2">
      <c r="AL1376" s="226"/>
      <c r="AM1376" s="226"/>
    </row>
    <row r="1377" spans="1:39" ht="12.75" x14ac:dyDescent="0.2">
      <c r="A1377" s="236"/>
      <c r="B1377" s="236"/>
      <c r="C1377" s="236"/>
      <c r="D1377" s="236"/>
      <c r="E1377" s="237"/>
      <c r="G1377" s="237"/>
      <c r="H1377" s="237"/>
      <c r="I1377" s="237"/>
      <c r="K1377" s="237"/>
      <c r="N1377" s="237"/>
      <c r="O1377" s="237"/>
      <c r="P1377" s="237"/>
      <c r="Q1377" s="237"/>
      <c r="AL1377" s="226"/>
      <c r="AM1377" s="226"/>
    </row>
    <row r="1378" spans="1:39" x14ac:dyDescent="0.25">
      <c r="AA1378" s="237"/>
      <c r="AB1378" s="237"/>
      <c r="AC1378" s="237"/>
      <c r="AD1378" s="237"/>
      <c r="AE1378" s="237"/>
      <c r="AF1378" s="237"/>
      <c r="AG1378" s="237"/>
      <c r="AH1378" s="237"/>
      <c r="AJ1378" s="238"/>
    </row>
    <row r="1379" spans="1:39" x14ac:dyDescent="0.25">
      <c r="AA1379" s="237"/>
      <c r="AB1379" s="237"/>
      <c r="AC1379" s="237"/>
      <c r="AD1379" s="237"/>
      <c r="AE1379" s="237"/>
      <c r="AF1379" s="237"/>
      <c r="AG1379" s="237"/>
      <c r="AH1379" s="237"/>
      <c r="AJ1379" s="238"/>
    </row>
    <row r="1380" spans="1:39" ht="12.75" x14ac:dyDescent="0.2">
      <c r="AL1380" s="226"/>
      <c r="AM1380" s="226"/>
    </row>
    <row r="1381" spans="1:39" ht="12.75" x14ac:dyDescent="0.2">
      <c r="A1381" s="236"/>
      <c r="B1381" s="236"/>
      <c r="C1381" s="236"/>
      <c r="D1381" s="236"/>
      <c r="E1381" s="237"/>
      <c r="G1381" s="237"/>
      <c r="H1381" s="237"/>
      <c r="I1381" s="237"/>
      <c r="K1381" s="237"/>
      <c r="N1381" s="237"/>
      <c r="O1381" s="237"/>
      <c r="P1381" s="237"/>
      <c r="Q1381" s="237"/>
      <c r="AL1381" s="226"/>
      <c r="AM1381" s="226"/>
    </row>
    <row r="1382" spans="1:39" x14ac:dyDescent="0.25">
      <c r="AA1382" s="237"/>
      <c r="AB1382" s="237"/>
      <c r="AC1382" s="237"/>
      <c r="AD1382" s="237"/>
      <c r="AE1382" s="237"/>
      <c r="AF1382" s="237"/>
      <c r="AG1382" s="237"/>
      <c r="AH1382" s="237"/>
      <c r="AJ1382" s="238"/>
    </row>
    <row r="1383" spans="1:39" x14ac:dyDescent="0.25">
      <c r="AA1383" s="237"/>
      <c r="AB1383" s="237"/>
      <c r="AC1383" s="237"/>
      <c r="AD1383" s="237"/>
      <c r="AE1383" s="237"/>
      <c r="AF1383" s="237"/>
      <c r="AG1383" s="237"/>
      <c r="AH1383" s="237"/>
      <c r="AJ1383" s="238"/>
    </row>
    <row r="1384" spans="1:39" ht="12.75" x14ac:dyDescent="0.2">
      <c r="AL1384" s="226"/>
      <c r="AM1384" s="226"/>
    </row>
    <row r="1385" spans="1:39" ht="12.75" x14ac:dyDescent="0.2">
      <c r="A1385" s="236"/>
      <c r="B1385" s="236"/>
      <c r="C1385" s="236"/>
      <c r="D1385" s="236"/>
      <c r="E1385" s="237"/>
      <c r="G1385" s="237"/>
      <c r="H1385" s="237"/>
      <c r="I1385" s="237"/>
      <c r="K1385" s="237"/>
      <c r="N1385" s="237"/>
      <c r="O1385" s="237"/>
      <c r="P1385" s="237"/>
      <c r="Q1385" s="237"/>
      <c r="AL1385" s="226"/>
      <c r="AM1385" s="226"/>
    </row>
    <row r="1386" spans="1:39" x14ac:dyDescent="0.25">
      <c r="AA1386" s="237"/>
      <c r="AB1386" s="237"/>
      <c r="AC1386" s="237"/>
      <c r="AD1386" s="237"/>
      <c r="AE1386" s="237"/>
      <c r="AF1386" s="237"/>
      <c r="AG1386" s="237"/>
      <c r="AH1386" s="237"/>
      <c r="AJ1386" s="238"/>
    </row>
    <row r="1387" spans="1:39" x14ac:dyDescent="0.25">
      <c r="AA1387" s="237"/>
      <c r="AB1387" s="237"/>
      <c r="AC1387" s="237"/>
      <c r="AD1387" s="237"/>
      <c r="AE1387" s="237"/>
      <c r="AF1387" s="237"/>
      <c r="AG1387" s="237"/>
      <c r="AH1387" s="237"/>
      <c r="AJ1387" s="238"/>
    </row>
    <row r="1388" spans="1:39" x14ac:dyDescent="0.25">
      <c r="AA1388" s="237"/>
      <c r="AB1388" s="237"/>
      <c r="AC1388" s="237"/>
      <c r="AD1388" s="237"/>
      <c r="AE1388" s="237"/>
      <c r="AF1388" s="237"/>
      <c r="AG1388" s="237"/>
      <c r="AH1388" s="237"/>
      <c r="AJ1388" s="238"/>
    </row>
    <row r="1389" spans="1:39" ht="12.75" x14ac:dyDescent="0.2">
      <c r="AL1389" s="226"/>
      <c r="AM1389" s="226"/>
    </row>
    <row r="1390" spans="1:39" ht="12.75" x14ac:dyDescent="0.2">
      <c r="A1390" s="236"/>
      <c r="B1390" s="236"/>
      <c r="C1390" s="236"/>
      <c r="D1390" s="236"/>
      <c r="E1390" s="237"/>
      <c r="G1390" s="237"/>
      <c r="H1390" s="237"/>
      <c r="I1390" s="237"/>
      <c r="K1390" s="237"/>
      <c r="N1390" s="237"/>
      <c r="O1390" s="237"/>
      <c r="P1390" s="237"/>
      <c r="Q1390" s="237"/>
      <c r="AL1390" s="226"/>
      <c r="AM1390" s="226"/>
    </row>
    <row r="1391" spans="1:39" x14ac:dyDescent="0.25">
      <c r="AA1391" s="237"/>
      <c r="AB1391" s="237"/>
      <c r="AC1391" s="237"/>
      <c r="AD1391" s="237"/>
      <c r="AE1391" s="237"/>
      <c r="AF1391" s="237"/>
      <c r="AG1391" s="237"/>
      <c r="AH1391" s="237"/>
      <c r="AJ1391" s="238"/>
    </row>
    <row r="1392" spans="1:39" ht="12.75" x14ac:dyDescent="0.2">
      <c r="AL1392" s="226"/>
      <c r="AM1392" s="226"/>
    </row>
    <row r="1393" spans="1:39" ht="12.75" x14ac:dyDescent="0.2">
      <c r="A1393" s="236"/>
      <c r="B1393" s="236"/>
      <c r="C1393" s="236"/>
      <c r="D1393" s="236"/>
      <c r="E1393" s="237"/>
      <c r="G1393" s="237"/>
      <c r="H1393" s="237"/>
      <c r="I1393" s="237"/>
      <c r="K1393" s="237"/>
      <c r="N1393" s="237"/>
      <c r="O1393" s="237"/>
      <c r="P1393" s="237"/>
      <c r="Q1393" s="237"/>
      <c r="AL1393" s="226"/>
      <c r="AM1393" s="226"/>
    </row>
    <row r="1394" spans="1:39" x14ac:dyDescent="0.25">
      <c r="AA1394" s="237"/>
      <c r="AB1394" s="237"/>
      <c r="AC1394" s="237"/>
      <c r="AD1394" s="237"/>
      <c r="AE1394" s="237"/>
      <c r="AF1394" s="237"/>
      <c r="AG1394" s="237"/>
      <c r="AH1394" s="237"/>
      <c r="AJ1394" s="238"/>
    </row>
    <row r="1395" spans="1:39" x14ac:dyDescent="0.25">
      <c r="AA1395" s="237"/>
      <c r="AB1395" s="237"/>
      <c r="AC1395" s="237"/>
      <c r="AD1395" s="237"/>
      <c r="AE1395" s="237"/>
      <c r="AF1395" s="237"/>
      <c r="AG1395" s="237"/>
      <c r="AH1395" s="237"/>
      <c r="AJ1395" s="238"/>
    </row>
    <row r="1396" spans="1:39" x14ac:dyDescent="0.25">
      <c r="AA1396" s="237"/>
      <c r="AB1396" s="237"/>
      <c r="AC1396" s="237"/>
      <c r="AD1396" s="237"/>
      <c r="AE1396" s="237"/>
      <c r="AF1396" s="237"/>
      <c r="AG1396" s="237"/>
      <c r="AH1396" s="237"/>
      <c r="AJ1396" s="238"/>
    </row>
    <row r="1397" spans="1:39" ht="12.75" x14ac:dyDescent="0.2">
      <c r="AL1397" s="226"/>
      <c r="AM1397" s="226"/>
    </row>
    <row r="1398" spans="1:39" ht="12.75" x14ac:dyDescent="0.2">
      <c r="A1398" s="236"/>
      <c r="B1398" s="236"/>
      <c r="C1398" s="236"/>
      <c r="D1398" s="236"/>
      <c r="E1398" s="237"/>
      <c r="G1398" s="237"/>
      <c r="H1398" s="237"/>
      <c r="I1398" s="237"/>
      <c r="K1398" s="237"/>
      <c r="N1398" s="237"/>
      <c r="O1398" s="237"/>
      <c r="P1398" s="237"/>
      <c r="Q1398" s="237"/>
      <c r="AL1398" s="226"/>
      <c r="AM1398" s="226"/>
    </row>
    <row r="1399" spans="1:39" x14ac:dyDescent="0.25">
      <c r="AA1399" s="237"/>
      <c r="AB1399" s="237"/>
      <c r="AC1399" s="237"/>
      <c r="AD1399" s="237"/>
      <c r="AE1399" s="237"/>
      <c r="AF1399" s="237"/>
      <c r="AG1399" s="237"/>
      <c r="AH1399" s="237"/>
      <c r="AJ1399" s="238"/>
    </row>
    <row r="1400" spans="1:39" x14ac:dyDescent="0.25">
      <c r="AA1400" s="237"/>
      <c r="AB1400" s="237"/>
      <c r="AC1400" s="237"/>
      <c r="AD1400" s="237"/>
      <c r="AE1400" s="237"/>
      <c r="AF1400" s="237"/>
      <c r="AG1400" s="237"/>
      <c r="AH1400" s="237"/>
      <c r="AJ1400" s="238"/>
    </row>
    <row r="1401" spans="1:39" ht="12.75" x14ac:dyDescent="0.2">
      <c r="AL1401" s="226"/>
      <c r="AM1401" s="226"/>
    </row>
    <row r="1402" spans="1:39" ht="12.75" x14ac:dyDescent="0.2">
      <c r="A1402" s="236"/>
      <c r="B1402" s="236"/>
      <c r="C1402" s="236"/>
      <c r="D1402" s="236"/>
      <c r="E1402" s="237"/>
      <c r="G1402" s="237"/>
      <c r="H1402" s="237"/>
      <c r="I1402" s="237"/>
      <c r="K1402" s="237"/>
      <c r="N1402" s="237"/>
      <c r="O1402" s="237"/>
      <c r="P1402" s="237"/>
      <c r="Q1402" s="237"/>
      <c r="AL1402" s="226"/>
      <c r="AM1402" s="226"/>
    </row>
    <row r="1403" spans="1:39" x14ac:dyDescent="0.25">
      <c r="AA1403" s="237"/>
      <c r="AB1403" s="237"/>
      <c r="AC1403" s="237"/>
      <c r="AD1403" s="237"/>
      <c r="AE1403" s="237"/>
      <c r="AF1403" s="237"/>
      <c r="AG1403" s="237"/>
      <c r="AH1403" s="237"/>
      <c r="AJ1403" s="238"/>
    </row>
    <row r="1404" spans="1:39" x14ac:dyDescent="0.25">
      <c r="AA1404" s="237"/>
      <c r="AB1404" s="237"/>
      <c r="AC1404" s="237"/>
      <c r="AD1404" s="237"/>
      <c r="AE1404" s="237"/>
      <c r="AF1404" s="237"/>
      <c r="AG1404" s="237"/>
      <c r="AH1404" s="237"/>
      <c r="AJ1404" s="238"/>
    </row>
    <row r="1405" spans="1:39" ht="12.75" x14ac:dyDescent="0.2">
      <c r="AL1405" s="226"/>
      <c r="AM1405" s="226"/>
    </row>
    <row r="1406" spans="1:39" ht="12.75" x14ac:dyDescent="0.2">
      <c r="A1406" s="236"/>
      <c r="B1406" s="236"/>
      <c r="C1406" s="236"/>
      <c r="D1406" s="236"/>
      <c r="E1406" s="237"/>
      <c r="G1406" s="237"/>
      <c r="H1406" s="237"/>
      <c r="I1406" s="237"/>
      <c r="K1406" s="237"/>
      <c r="N1406" s="237"/>
      <c r="O1406" s="237"/>
      <c r="P1406" s="237"/>
      <c r="Q1406" s="237"/>
      <c r="AL1406" s="226"/>
      <c r="AM1406" s="226"/>
    </row>
    <row r="1407" spans="1:39" x14ac:dyDescent="0.25">
      <c r="AA1407" s="237"/>
      <c r="AB1407" s="237"/>
      <c r="AC1407" s="237"/>
      <c r="AD1407" s="237"/>
      <c r="AE1407" s="237"/>
      <c r="AF1407" s="237"/>
      <c r="AG1407" s="237"/>
      <c r="AH1407" s="237"/>
      <c r="AJ1407" s="238"/>
    </row>
    <row r="1408" spans="1:39" ht="12.75" x14ac:dyDescent="0.2">
      <c r="AL1408" s="226"/>
      <c r="AM1408" s="226"/>
    </row>
    <row r="1409" spans="1:39" ht="12.75" x14ac:dyDescent="0.2">
      <c r="A1409" s="236"/>
      <c r="B1409" s="236"/>
      <c r="C1409" s="236"/>
      <c r="D1409" s="236"/>
      <c r="E1409" s="237"/>
      <c r="G1409" s="237"/>
      <c r="H1409" s="237"/>
      <c r="I1409" s="237"/>
      <c r="K1409" s="237"/>
      <c r="N1409" s="237"/>
      <c r="O1409" s="237"/>
      <c r="P1409" s="237"/>
      <c r="Q1409" s="237"/>
      <c r="AL1409" s="226"/>
      <c r="AM1409" s="226"/>
    </row>
    <row r="1410" spans="1:39" x14ac:dyDescent="0.25">
      <c r="AA1410" s="237"/>
      <c r="AB1410" s="237"/>
      <c r="AC1410" s="237"/>
      <c r="AD1410" s="237"/>
      <c r="AE1410" s="237"/>
      <c r="AF1410" s="237"/>
      <c r="AG1410" s="237"/>
      <c r="AH1410" s="237"/>
      <c r="AJ1410" s="238"/>
    </row>
    <row r="1411" spans="1:39" x14ac:dyDescent="0.25">
      <c r="AA1411" s="237"/>
      <c r="AB1411" s="237"/>
      <c r="AC1411" s="237"/>
      <c r="AD1411" s="237"/>
      <c r="AE1411" s="237"/>
      <c r="AF1411" s="237"/>
      <c r="AG1411" s="237"/>
      <c r="AH1411" s="237"/>
      <c r="AJ1411" s="238"/>
    </row>
    <row r="1412" spans="1:39" x14ac:dyDescent="0.25">
      <c r="AA1412" s="237"/>
      <c r="AB1412" s="237"/>
      <c r="AC1412" s="237"/>
      <c r="AD1412" s="237"/>
      <c r="AE1412" s="237"/>
      <c r="AF1412" s="237"/>
      <c r="AG1412" s="237"/>
      <c r="AH1412" s="237"/>
      <c r="AJ1412" s="238"/>
    </row>
    <row r="1413" spans="1:39" ht="12.75" x14ac:dyDescent="0.2">
      <c r="AL1413" s="226"/>
      <c r="AM1413" s="226"/>
    </row>
    <row r="1414" spans="1:39" ht="12.75" x14ac:dyDescent="0.2">
      <c r="A1414" s="236"/>
      <c r="B1414" s="236"/>
      <c r="C1414" s="236"/>
      <c r="D1414" s="236"/>
      <c r="E1414" s="237"/>
      <c r="G1414" s="237"/>
      <c r="H1414" s="237"/>
      <c r="I1414" s="237"/>
      <c r="K1414" s="237"/>
      <c r="N1414" s="237"/>
      <c r="O1414" s="237"/>
      <c r="P1414" s="237"/>
      <c r="Q1414" s="237"/>
      <c r="AL1414" s="226"/>
      <c r="AM1414" s="226"/>
    </row>
    <row r="1415" spans="1:39" x14ac:dyDescent="0.25">
      <c r="AA1415" s="237"/>
      <c r="AB1415" s="237"/>
      <c r="AC1415" s="237"/>
      <c r="AD1415" s="237"/>
      <c r="AE1415" s="237"/>
      <c r="AF1415" s="237"/>
      <c r="AG1415" s="237"/>
      <c r="AH1415" s="237"/>
      <c r="AJ1415" s="238"/>
    </row>
    <row r="1416" spans="1:39" x14ac:dyDescent="0.25">
      <c r="AA1416" s="237"/>
      <c r="AB1416" s="237"/>
      <c r="AC1416" s="237"/>
      <c r="AD1416" s="237"/>
      <c r="AE1416" s="237"/>
      <c r="AF1416" s="237"/>
      <c r="AG1416" s="237"/>
      <c r="AH1416" s="237"/>
      <c r="AJ1416" s="238"/>
    </row>
    <row r="1417" spans="1:39" x14ac:dyDescent="0.25">
      <c r="AA1417" s="237"/>
      <c r="AB1417" s="237"/>
      <c r="AC1417" s="237"/>
      <c r="AD1417" s="237"/>
      <c r="AE1417" s="237"/>
      <c r="AF1417" s="237"/>
      <c r="AG1417" s="237"/>
      <c r="AH1417" s="237"/>
      <c r="AJ1417" s="238"/>
    </row>
    <row r="1418" spans="1:39" x14ac:dyDescent="0.25">
      <c r="AA1418" s="237"/>
      <c r="AB1418" s="237"/>
      <c r="AC1418" s="237"/>
      <c r="AD1418" s="237"/>
      <c r="AE1418" s="237"/>
      <c r="AF1418" s="237"/>
      <c r="AG1418" s="237"/>
      <c r="AH1418" s="237"/>
      <c r="AJ1418" s="238"/>
    </row>
    <row r="1419" spans="1:39" x14ac:dyDescent="0.25">
      <c r="AA1419" s="237"/>
      <c r="AB1419" s="237"/>
      <c r="AC1419" s="237"/>
      <c r="AD1419" s="237"/>
      <c r="AE1419" s="237"/>
      <c r="AF1419" s="237"/>
      <c r="AG1419" s="237"/>
      <c r="AH1419" s="237"/>
      <c r="AJ1419" s="238"/>
    </row>
    <row r="1420" spans="1:39" x14ac:dyDescent="0.25">
      <c r="AA1420" s="237"/>
      <c r="AB1420" s="237"/>
      <c r="AC1420" s="237"/>
      <c r="AD1420" s="237"/>
      <c r="AE1420" s="237"/>
      <c r="AF1420" s="237"/>
      <c r="AG1420" s="237"/>
      <c r="AH1420" s="237"/>
      <c r="AJ1420" s="238"/>
    </row>
    <row r="1421" spans="1:39" x14ac:dyDescent="0.25">
      <c r="AA1421" s="237"/>
      <c r="AB1421" s="237"/>
      <c r="AC1421" s="237"/>
      <c r="AD1421" s="237"/>
      <c r="AE1421" s="237"/>
      <c r="AF1421" s="237"/>
      <c r="AG1421" s="237"/>
      <c r="AH1421" s="237"/>
      <c r="AJ1421" s="238"/>
    </row>
    <row r="1422" spans="1:39" x14ac:dyDescent="0.25">
      <c r="AA1422" s="237"/>
      <c r="AB1422" s="237"/>
      <c r="AC1422" s="237"/>
      <c r="AD1422" s="237"/>
      <c r="AE1422" s="237"/>
      <c r="AF1422" s="237"/>
      <c r="AG1422" s="237"/>
      <c r="AH1422" s="237"/>
      <c r="AJ1422" s="238"/>
    </row>
    <row r="1423" spans="1:39" ht="12.75" x14ac:dyDescent="0.2">
      <c r="AL1423" s="226"/>
      <c r="AM1423" s="226"/>
    </row>
    <row r="1424" spans="1:39" ht="12.75" x14ac:dyDescent="0.2">
      <c r="A1424" s="236"/>
      <c r="B1424" s="236"/>
      <c r="C1424" s="236"/>
      <c r="D1424" s="236"/>
      <c r="E1424" s="237"/>
      <c r="G1424" s="237"/>
      <c r="H1424" s="237"/>
      <c r="I1424" s="237"/>
      <c r="K1424" s="237"/>
      <c r="N1424" s="237"/>
      <c r="O1424" s="237"/>
      <c r="P1424" s="237"/>
      <c r="Q1424" s="237"/>
      <c r="AL1424" s="226"/>
      <c r="AM1424" s="226"/>
    </row>
    <row r="1425" spans="1:39" x14ac:dyDescent="0.25">
      <c r="AA1425" s="237"/>
      <c r="AB1425" s="237"/>
      <c r="AC1425" s="237"/>
      <c r="AD1425" s="237"/>
      <c r="AE1425" s="237"/>
      <c r="AF1425" s="237"/>
      <c r="AG1425" s="237"/>
      <c r="AH1425" s="237"/>
      <c r="AJ1425" s="238"/>
    </row>
    <row r="1426" spans="1:39" x14ac:dyDescent="0.25">
      <c r="AA1426" s="237"/>
      <c r="AB1426" s="237"/>
      <c r="AC1426" s="237"/>
      <c r="AD1426" s="237"/>
      <c r="AE1426" s="237"/>
      <c r="AF1426" s="237"/>
      <c r="AG1426" s="237"/>
      <c r="AH1426" s="237"/>
      <c r="AJ1426" s="238"/>
    </row>
    <row r="1427" spans="1:39" x14ac:dyDescent="0.25">
      <c r="AA1427" s="237"/>
      <c r="AB1427" s="237"/>
      <c r="AC1427" s="237"/>
      <c r="AD1427" s="237"/>
      <c r="AE1427" s="237"/>
      <c r="AF1427" s="237"/>
      <c r="AG1427" s="237"/>
      <c r="AH1427" s="237"/>
      <c r="AJ1427" s="238"/>
    </row>
    <row r="1428" spans="1:39" x14ac:dyDescent="0.25">
      <c r="AA1428" s="237"/>
      <c r="AB1428" s="237"/>
      <c r="AC1428" s="237"/>
      <c r="AD1428" s="237"/>
      <c r="AE1428" s="237"/>
      <c r="AF1428" s="237"/>
      <c r="AG1428" s="237"/>
      <c r="AH1428" s="237"/>
      <c r="AJ1428" s="238"/>
    </row>
    <row r="1429" spans="1:39" ht="12.75" x14ac:dyDescent="0.2">
      <c r="AL1429" s="226"/>
      <c r="AM1429" s="226"/>
    </row>
    <row r="1430" spans="1:39" ht="12.75" x14ac:dyDescent="0.2">
      <c r="A1430" s="236"/>
      <c r="B1430" s="236"/>
      <c r="C1430" s="236"/>
      <c r="D1430" s="236"/>
      <c r="E1430" s="237"/>
      <c r="G1430" s="237"/>
      <c r="H1430" s="237"/>
      <c r="I1430" s="237"/>
      <c r="K1430" s="237"/>
      <c r="N1430" s="237"/>
      <c r="O1430" s="237"/>
      <c r="P1430" s="237"/>
      <c r="Q1430" s="237"/>
      <c r="AL1430" s="226"/>
      <c r="AM1430" s="226"/>
    </row>
    <row r="1431" spans="1:39" x14ac:dyDescent="0.25">
      <c r="AA1431" s="237"/>
      <c r="AB1431" s="237"/>
      <c r="AC1431" s="237"/>
      <c r="AD1431" s="237"/>
      <c r="AE1431" s="237"/>
      <c r="AF1431" s="237"/>
      <c r="AG1431" s="237"/>
      <c r="AH1431" s="237"/>
      <c r="AJ1431" s="238"/>
    </row>
    <row r="1432" spans="1:39" x14ac:dyDescent="0.25">
      <c r="AA1432" s="237"/>
      <c r="AB1432" s="237"/>
      <c r="AC1432" s="237"/>
      <c r="AD1432" s="237"/>
      <c r="AE1432" s="237"/>
      <c r="AF1432" s="237"/>
      <c r="AG1432" s="237"/>
      <c r="AH1432" s="237"/>
      <c r="AJ1432" s="238"/>
    </row>
    <row r="1433" spans="1:39" x14ac:dyDescent="0.25">
      <c r="AA1433" s="237"/>
      <c r="AB1433" s="237"/>
      <c r="AC1433" s="237"/>
      <c r="AD1433" s="237"/>
      <c r="AE1433" s="237"/>
      <c r="AF1433" s="237"/>
      <c r="AG1433" s="237"/>
      <c r="AH1433" s="237"/>
      <c r="AJ1433" s="238"/>
    </row>
    <row r="1434" spans="1:39" ht="12.75" x14ac:dyDescent="0.2">
      <c r="AL1434" s="226"/>
      <c r="AM1434" s="226"/>
    </row>
    <row r="1435" spans="1:39" ht="12.75" x14ac:dyDescent="0.2">
      <c r="A1435" s="236"/>
      <c r="B1435" s="236"/>
      <c r="C1435" s="236"/>
      <c r="D1435" s="236"/>
      <c r="E1435" s="237"/>
      <c r="G1435" s="237"/>
      <c r="H1435" s="237"/>
      <c r="I1435" s="237"/>
      <c r="K1435" s="237"/>
      <c r="N1435" s="237"/>
      <c r="O1435" s="237"/>
      <c r="P1435" s="237"/>
      <c r="Q1435" s="237"/>
      <c r="AL1435" s="226"/>
      <c r="AM1435" s="226"/>
    </row>
    <row r="1436" spans="1:39" x14ac:dyDescent="0.25">
      <c r="AA1436" s="237"/>
      <c r="AB1436" s="237"/>
      <c r="AC1436" s="237"/>
      <c r="AD1436" s="237"/>
      <c r="AE1436" s="237"/>
      <c r="AF1436" s="237"/>
      <c r="AG1436" s="237"/>
      <c r="AH1436" s="237"/>
      <c r="AJ1436" s="238"/>
    </row>
    <row r="1437" spans="1:39" ht="12.75" x14ac:dyDescent="0.2">
      <c r="AL1437" s="226"/>
      <c r="AM1437" s="226"/>
    </row>
    <row r="1438" spans="1:39" ht="12.75" x14ac:dyDescent="0.2">
      <c r="A1438" s="236"/>
      <c r="B1438" s="236"/>
      <c r="C1438" s="236"/>
      <c r="D1438" s="236"/>
      <c r="E1438" s="237"/>
      <c r="G1438" s="237"/>
      <c r="H1438" s="237"/>
      <c r="I1438" s="237"/>
      <c r="K1438" s="237"/>
      <c r="N1438" s="237"/>
      <c r="O1438" s="237"/>
      <c r="P1438" s="237"/>
      <c r="Q1438" s="237"/>
      <c r="AL1438" s="226"/>
      <c r="AM1438" s="226"/>
    </row>
    <row r="1439" spans="1:39" x14ac:dyDescent="0.25">
      <c r="AA1439" s="237"/>
      <c r="AB1439" s="237"/>
      <c r="AC1439" s="237"/>
      <c r="AD1439" s="237"/>
      <c r="AE1439" s="237"/>
      <c r="AF1439" s="237"/>
      <c r="AG1439" s="237"/>
      <c r="AH1439" s="237"/>
      <c r="AJ1439" s="238"/>
    </row>
    <row r="1440" spans="1:39" x14ac:dyDescent="0.25">
      <c r="AA1440" s="237"/>
      <c r="AB1440" s="237"/>
      <c r="AC1440" s="237"/>
      <c r="AD1440" s="237"/>
      <c r="AE1440" s="237"/>
      <c r="AF1440" s="237"/>
      <c r="AG1440" s="237"/>
      <c r="AH1440" s="237"/>
      <c r="AJ1440" s="238"/>
    </row>
    <row r="1441" spans="1:39" x14ac:dyDescent="0.25">
      <c r="AA1441" s="237"/>
      <c r="AB1441" s="237"/>
      <c r="AC1441" s="237"/>
      <c r="AD1441" s="237"/>
      <c r="AE1441" s="237"/>
      <c r="AF1441" s="237"/>
      <c r="AG1441" s="237"/>
      <c r="AH1441" s="237"/>
      <c r="AJ1441" s="238"/>
    </row>
    <row r="1442" spans="1:39" x14ac:dyDescent="0.25">
      <c r="AA1442" s="237"/>
      <c r="AB1442" s="237"/>
      <c r="AC1442" s="237"/>
      <c r="AD1442" s="237"/>
      <c r="AE1442" s="237"/>
      <c r="AF1442" s="237"/>
      <c r="AG1442" s="237"/>
      <c r="AH1442" s="237"/>
      <c r="AJ1442" s="238"/>
    </row>
    <row r="1443" spans="1:39" x14ac:dyDescent="0.25">
      <c r="AA1443" s="237"/>
      <c r="AB1443" s="237"/>
      <c r="AC1443" s="237"/>
      <c r="AD1443" s="237"/>
      <c r="AE1443" s="237"/>
      <c r="AF1443" s="237"/>
      <c r="AG1443" s="237"/>
      <c r="AH1443" s="237"/>
      <c r="AJ1443" s="238"/>
    </row>
    <row r="1444" spans="1:39" ht="12.75" x14ac:dyDescent="0.2">
      <c r="AL1444" s="226"/>
      <c r="AM1444" s="226"/>
    </row>
    <row r="1445" spans="1:39" ht="12.75" x14ac:dyDescent="0.2">
      <c r="A1445" s="236"/>
      <c r="B1445" s="236"/>
      <c r="C1445" s="236"/>
      <c r="D1445" s="236"/>
      <c r="E1445" s="237"/>
      <c r="G1445" s="237"/>
      <c r="H1445" s="237"/>
      <c r="I1445" s="237"/>
      <c r="K1445" s="237"/>
      <c r="N1445" s="237"/>
      <c r="O1445" s="237"/>
      <c r="P1445" s="237"/>
      <c r="Q1445" s="237"/>
      <c r="AL1445" s="226"/>
      <c r="AM1445" s="226"/>
    </row>
    <row r="1446" spans="1:39" x14ac:dyDescent="0.25">
      <c r="AA1446" s="237"/>
      <c r="AB1446" s="237"/>
      <c r="AC1446" s="237"/>
      <c r="AD1446" s="237"/>
      <c r="AE1446" s="237"/>
      <c r="AF1446" s="237"/>
      <c r="AG1446" s="237"/>
      <c r="AH1446" s="237"/>
      <c r="AJ1446" s="238"/>
    </row>
    <row r="1447" spans="1:39" x14ac:dyDescent="0.25">
      <c r="AA1447" s="237"/>
      <c r="AB1447" s="237"/>
      <c r="AC1447" s="237"/>
      <c r="AD1447" s="237"/>
      <c r="AE1447" s="237"/>
      <c r="AF1447" s="237"/>
      <c r="AG1447" s="237"/>
      <c r="AH1447" s="237"/>
      <c r="AJ1447" s="238"/>
    </row>
    <row r="1448" spans="1:39" x14ac:dyDescent="0.25">
      <c r="AA1448" s="237"/>
      <c r="AB1448" s="237"/>
      <c r="AC1448" s="237"/>
      <c r="AD1448" s="237"/>
      <c r="AE1448" s="237"/>
      <c r="AF1448" s="237"/>
      <c r="AG1448" s="237"/>
      <c r="AH1448" s="237"/>
      <c r="AJ1448" s="238"/>
    </row>
    <row r="1449" spans="1:39" x14ac:dyDescent="0.25">
      <c r="AA1449" s="237"/>
      <c r="AB1449" s="237"/>
      <c r="AC1449" s="237"/>
      <c r="AD1449" s="237"/>
      <c r="AE1449" s="237"/>
      <c r="AF1449" s="237"/>
      <c r="AG1449" s="237"/>
      <c r="AH1449" s="237"/>
      <c r="AJ1449" s="238"/>
    </row>
    <row r="1450" spans="1:39" x14ac:dyDescent="0.25">
      <c r="AA1450" s="237"/>
      <c r="AB1450" s="237"/>
      <c r="AC1450" s="237"/>
      <c r="AD1450" s="237"/>
      <c r="AE1450" s="237"/>
      <c r="AF1450" s="237"/>
      <c r="AG1450" s="237"/>
      <c r="AH1450" s="237"/>
      <c r="AJ1450" s="238"/>
    </row>
    <row r="1451" spans="1:39" ht="12.75" x14ac:dyDescent="0.2">
      <c r="AL1451" s="226"/>
      <c r="AM1451" s="226"/>
    </row>
    <row r="1452" spans="1:39" ht="12.75" x14ac:dyDescent="0.2">
      <c r="A1452" s="236"/>
      <c r="B1452" s="236"/>
      <c r="C1452" s="236"/>
      <c r="D1452" s="236"/>
      <c r="E1452" s="237"/>
      <c r="G1452" s="237"/>
      <c r="H1452" s="237"/>
      <c r="I1452" s="237"/>
      <c r="K1452" s="237"/>
      <c r="N1452" s="237"/>
      <c r="O1452" s="237"/>
      <c r="P1452" s="237"/>
      <c r="Q1452" s="237"/>
      <c r="AL1452" s="226"/>
      <c r="AM1452" s="226"/>
    </row>
    <row r="1453" spans="1:39" x14ac:dyDescent="0.25">
      <c r="AA1453" s="237"/>
      <c r="AB1453" s="237"/>
      <c r="AC1453" s="237"/>
      <c r="AD1453" s="237"/>
      <c r="AE1453" s="237"/>
      <c r="AF1453" s="237"/>
      <c r="AG1453" s="237"/>
      <c r="AH1453" s="237"/>
      <c r="AJ1453" s="238"/>
    </row>
    <row r="1454" spans="1:39" x14ac:dyDescent="0.25">
      <c r="AA1454" s="237"/>
      <c r="AB1454" s="237"/>
      <c r="AC1454" s="237"/>
      <c r="AD1454" s="237"/>
      <c r="AE1454" s="237"/>
      <c r="AF1454" s="237"/>
      <c r="AG1454" s="237"/>
      <c r="AH1454" s="237"/>
      <c r="AJ1454" s="238"/>
    </row>
    <row r="1455" spans="1:39" ht="12.75" x14ac:dyDescent="0.2">
      <c r="AL1455" s="226"/>
      <c r="AM1455" s="226"/>
    </row>
    <row r="1456" spans="1:39" ht="12.75" x14ac:dyDescent="0.2">
      <c r="A1456" s="236"/>
      <c r="B1456" s="236"/>
      <c r="C1456" s="236"/>
      <c r="D1456" s="236"/>
      <c r="E1456" s="237"/>
      <c r="G1456" s="237"/>
      <c r="H1456" s="237"/>
      <c r="I1456" s="237"/>
      <c r="K1456" s="237"/>
      <c r="N1456" s="237"/>
      <c r="O1456" s="237"/>
      <c r="P1456" s="237"/>
      <c r="Q1456" s="237"/>
      <c r="AL1456" s="226"/>
      <c r="AM1456" s="226"/>
    </row>
    <row r="1457" spans="1:39" x14ac:dyDescent="0.25">
      <c r="AA1457" s="237"/>
      <c r="AB1457" s="237"/>
      <c r="AC1457" s="237"/>
      <c r="AD1457" s="237"/>
      <c r="AE1457" s="237"/>
      <c r="AF1457" s="237"/>
      <c r="AG1457" s="237"/>
      <c r="AH1457" s="237"/>
      <c r="AJ1457" s="238"/>
    </row>
    <row r="1458" spans="1:39" ht="12.75" x14ac:dyDescent="0.2">
      <c r="AL1458" s="226"/>
      <c r="AM1458" s="226"/>
    </row>
    <row r="1459" spans="1:39" ht="12.75" x14ac:dyDescent="0.2">
      <c r="A1459" s="236"/>
      <c r="B1459" s="236"/>
      <c r="C1459" s="236"/>
      <c r="D1459" s="236"/>
      <c r="E1459" s="237"/>
      <c r="G1459" s="237"/>
      <c r="H1459" s="237"/>
      <c r="I1459" s="237"/>
      <c r="K1459" s="237"/>
      <c r="N1459" s="237"/>
      <c r="O1459" s="237"/>
      <c r="P1459" s="237"/>
      <c r="Q1459" s="237"/>
      <c r="AL1459" s="226"/>
      <c r="AM1459" s="226"/>
    </row>
    <row r="1460" spans="1:39" x14ac:dyDescent="0.25">
      <c r="AA1460" s="237"/>
      <c r="AB1460" s="237"/>
      <c r="AC1460" s="237"/>
      <c r="AD1460" s="237"/>
      <c r="AE1460" s="237"/>
      <c r="AF1460" s="237"/>
      <c r="AG1460" s="237"/>
      <c r="AH1460" s="237"/>
      <c r="AJ1460" s="238"/>
    </row>
    <row r="1461" spans="1:39" x14ac:dyDescent="0.25">
      <c r="AA1461" s="237"/>
      <c r="AB1461" s="237"/>
      <c r="AC1461" s="237"/>
      <c r="AD1461" s="237"/>
      <c r="AE1461" s="237"/>
      <c r="AF1461" s="237"/>
      <c r="AG1461" s="237"/>
      <c r="AH1461" s="237"/>
      <c r="AJ1461" s="238"/>
    </row>
    <row r="1462" spans="1:39" x14ac:dyDescent="0.25">
      <c r="AA1462" s="237"/>
      <c r="AB1462" s="237"/>
      <c r="AC1462" s="237"/>
      <c r="AD1462" s="237"/>
      <c r="AE1462" s="237"/>
      <c r="AF1462" s="237"/>
      <c r="AG1462" s="237"/>
      <c r="AH1462" s="237"/>
      <c r="AJ1462" s="238"/>
    </row>
    <row r="1463" spans="1:39" x14ac:dyDescent="0.25">
      <c r="AA1463" s="237"/>
      <c r="AB1463" s="237"/>
      <c r="AC1463" s="237"/>
      <c r="AD1463" s="237"/>
      <c r="AE1463" s="237"/>
      <c r="AF1463" s="237"/>
      <c r="AG1463" s="237"/>
      <c r="AH1463" s="237"/>
      <c r="AJ1463" s="238"/>
    </row>
    <row r="1464" spans="1:39" x14ac:dyDescent="0.25">
      <c r="AA1464" s="237"/>
      <c r="AB1464" s="237"/>
      <c r="AC1464" s="237"/>
      <c r="AD1464" s="237"/>
      <c r="AE1464" s="237"/>
      <c r="AF1464" s="237"/>
      <c r="AG1464" s="237"/>
      <c r="AH1464" s="237"/>
      <c r="AJ1464" s="238"/>
    </row>
    <row r="1465" spans="1:39" x14ac:dyDescent="0.25">
      <c r="AA1465" s="237"/>
      <c r="AB1465" s="237"/>
      <c r="AC1465" s="237"/>
      <c r="AD1465" s="237"/>
      <c r="AE1465" s="237"/>
      <c r="AF1465" s="237"/>
      <c r="AG1465" s="237"/>
      <c r="AH1465" s="237"/>
      <c r="AJ1465" s="238"/>
    </row>
    <row r="1466" spans="1:39" x14ac:dyDescent="0.25">
      <c r="AA1466" s="237"/>
      <c r="AB1466" s="237"/>
      <c r="AC1466" s="237"/>
      <c r="AD1466" s="237"/>
      <c r="AE1466" s="237"/>
      <c r="AF1466" s="237"/>
      <c r="AG1466" s="237"/>
      <c r="AH1466" s="237"/>
      <c r="AJ1466" s="238"/>
    </row>
    <row r="1467" spans="1:39" x14ac:dyDescent="0.25">
      <c r="AA1467" s="237"/>
      <c r="AB1467" s="237"/>
      <c r="AC1467" s="237"/>
      <c r="AD1467" s="237"/>
      <c r="AE1467" s="237"/>
      <c r="AF1467" s="237"/>
      <c r="AG1467" s="237"/>
      <c r="AH1467" s="237"/>
      <c r="AJ1467" s="238"/>
    </row>
    <row r="1468" spans="1:39" x14ac:dyDescent="0.25">
      <c r="AA1468" s="237"/>
      <c r="AB1468" s="237"/>
      <c r="AC1468" s="237"/>
      <c r="AD1468" s="237"/>
      <c r="AE1468" s="237"/>
      <c r="AF1468" s="237"/>
      <c r="AG1468" s="237"/>
      <c r="AH1468" s="237"/>
      <c r="AJ1468" s="238"/>
    </row>
    <row r="1469" spans="1:39" x14ac:dyDescent="0.25">
      <c r="AA1469" s="237"/>
      <c r="AB1469" s="237"/>
      <c r="AC1469" s="237"/>
      <c r="AD1469" s="237"/>
      <c r="AE1469" s="237"/>
      <c r="AF1469" s="237"/>
      <c r="AG1469" s="237"/>
      <c r="AH1469" s="237"/>
      <c r="AJ1469" s="238"/>
    </row>
    <row r="1470" spans="1:39" x14ac:dyDescent="0.25">
      <c r="AA1470" s="237"/>
      <c r="AB1470" s="237"/>
      <c r="AC1470" s="237"/>
      <c r="AD1470" s="237"/>
      <c r="AE1470" s="237"/>
      <c r="AF1470" s="237"/>
      <c r="AG1470" s="237"/>
      <c r="AH1470" s="237"/>
      <c r="AJ1470" s="238"/>
    </row>
    <row r="1471" spans="1:39" x14ac:dyDescent="0.25">
      <c r="AA1471" s="237"/>
      <c r="AB1471" s="237"/>
      <c r="AC1471" s="237"/>
      <c r="AD1471" s="237"/>
      <c r="AE1471" s="237"/>
      <c r="AF1471" s="237"/>
      <c r="AG1471" s="237"/>
      <c r="AH1471" s="237"/>
      <c r="AJ1471" s="238"/>
    </row>
    <row r="1472" spans="1:39" ht="12.75" x14ac:dyDescent="0.2">
      <c r="AL1472" s="226"/>
      <c r="AM1472" s="226"/>
    </row>
    <row r="1473" spans="1:39" ht="12.75" x14ac:dyDescent="0.2">
      <c r="A1473" s="236"/>
      <c r="B1473" s="236"/>
      <c r="C1473" s="236"/>
      <c r="D1473" s="236"/>
      <c r="E1473" s="237"/>
      <c r="G1473" s="237"/>
      <c r="H1473" s="237"/>
      <c r="I1473" s="237"/>
      <c r="K1473" s="237"/>
      <c r="N1473" s="237"/>
      <c r="O1473" s="237"/>
      <c r="P1473" s="237"/>
      <c r="Q1473" s="237"/>
      <c r="AL1473" s="226"/>
      <c r="AM1473" s="226"/>
    </row>
    <row r="1474" spans="1:39" x14ac:dyDescent="0.25">
      <c r="AA1474" s="237"/>
      <c r="AB1474" s="237"/>
      <c r="AC1474" s="237"/>
      <c r="AD1474" s="237"/>
      <c r="AE1474" s="237"/>
      <c r="AF1474" s="237"/>
      <c r="AG1474" s="237"/>
      <c r="AH1474" s="237"/>
      <c r="AJ1474" s="238"/>
    </row>
    <row r="1475" spans="1:39" ht="12.75" x14ac:dyDescent="0.2">
      <c r="AL1475" s="226"/>
      <c r="AM1475" s="226"/>
    </row>
    <row r="1476" spans="1:39" ht="12.75" x14ac:dyDescent="0.2">
      <c r="A1476" s="236"/>
      <c r="B1476" s="236"/>
      <c r="C1476" s="236"/>
      <c r="D1476" s="236"/>
      <c r="E1476" s="237"/>
      <c r="G1476" s="237"/>
      <c r="H1476" s="237"/>
      <c r="I1476" s="237"/>
      <c r="K1476" s="237"/>
      <c r="N1476" s="237"/>
      <c r="O1476" s="237"/>
      <c r="P1476" s="237"/>
      <c r="Q1476" s="237"/>
      <c r="AL1476" s="226"/>
      <c r="AM1476" s="226"/>
    </row>
    <row r="1477" spans="1:39" x14ac:dyDescent="0.25">
      <c r="AA1477" s="237"/>
      <c r="AB1477" s="237"/>
      <c r="AC1477" s="237"/>
      <c r="AD1477" s="237"/>
      <c r="AE1477" s="237"/>
      <c r="AF1477" s="237"/>
      <c r="AG1477" s="237"/>
      <c r="AH1477" s="237"/>
      <c r="AJ1477" s="238"/>
    </row>
    <row r="1478" spans="1:39" ht="12.75" x14ac:dyDescent="0.2">
      <c r="AL1478" s="226"/>
      <c r="AM1478" s="226"/>
    </row>
    <row r="1479" spans="1:39" ht="12.75" x14ac:dyDescent="0.2">
      <c r="A1479" s="236"/>
      <c r="B1479" s="236"/>
      <c r="C1479" s="236"/>
      <c r="D1479" s="236"/>
      <c r="E1479" s="237"/>
      <c r="G1479" s="237"/>
      <c r="H1479" s="237"/>
      <c r="I1479" s="237"/>
      <c r="K1479" s="237"/>
      <c r="N1479" s="237"/>
      <c r="O1479" s="237"/>
      <c r="P1479" s="237"/>
      <c r="Q1479" s="237"/>
      <c r="AL1479" s="226"/>
      <c r="AM1479" s="226"/>
    </row>
    <row r="1480" spans="1:39" x14ac:dyDescent="0.25">
      <c r="AA1480" s="237"/>
      <c r="AB1480" s="237"/>
      <c r="AC1480" s="237"/>
      <c r="AD1480" s="237"/>
      <c r="AE1480" s="237"/>
      <c r="AF1480" s="237"/>
      <c r="AG1480" s="237"/>
      <c r="AH1480" s="237"/>
      <c r="AJ1480" s="238"/>
    </row>
    <row r="1481" spans="1:39" ht="12.75" x14ac:dyDescent="0.2">
      <c r="AL1481" s="226"/>
      <c r="AM1481" s="226"/>
    </row>
    <row r="1482" spans="1:39" ht="12.75" x14ac:dyDescent="0.2">
      <c r="A1482" s="236"/>
      <c r="B1482" s="236"/>
      <c r="C1482" s="236"/>
      <c r="D1482" s="236"/>
      <c r="E1482" s="237"/>
      <c r="G1482" s="237"/>
      <c r="H1482" s="237"/>
      <c r="I1482" s="237"/>
      <c r="K1482" s="237"/>
      <c r="N1482" s="237"/>
      <c r="O1482" s="237"/>
      <c r="P1482" s="237"/>
      <c r="Q1482" s="237"/>
      <c r="AL1482" s="226"/>
      <c r="AM1482" s="226"/>
    </row>
    <row r="1483" spans="1:39" x14ac:dyDescent="0.25">
      <c r="AA1483" s="237"/>
      <c r="AB1483" s="237"/>
      <c r="AC1483" s="237"/>
      <c r="AD1483" s="237"/>
      <c r="AE1483" s="237"/>
      <c r="AF1483" s="237"/>
      <c r="AG1483" s="237"/>
      <c r="AH1483" s="237"/>
      <c r="AJ1483" s="238"/>
    </row>
    <row r="1484" spans="1:39" x14ac:dyDescent="0.25">
      <c r="AA1484" s="237"/>
      <c r="AB1484" s="237"/>
      <c r="AC1484" s="237"/>
      <c r="AD1484" s="237"/>
      <c r="AE1484" s="237"/>
      <c r="AF1484" s="237"/>
      <c r="AG1484" s="237"/>
      <c r="AH1484" s="237"/>
      <c r="AJ1484" s="238"/>
    </row>
    <row r="1485" spans="1:39" ht="12.75" x14ac:dyDescent="0.2">
      <c r="AL1485" s="226"/>
      <c r="AM1485" s="226"/>
    </row>
    <row r="1486" spans="1:39" ht="12.75" x14ac:dyDescent="0.2">
      <c r="A1486" s="236"/>
      <c r="B1486" s="236"/>
      <c r="C1486" s="236"/>
      <c r="D1486" s="236"/>
      <c r="E1486" s="237"/>
      <c r="G1486" s="237"/>
      <c r="H1486" s="237"/>
      <c r="I1486" s="237"/>
      <c r="K1486" s="237"/>
      <c r="N1486" s="237"/>
      <c r="O1486" s="237"/>
      <c r="P1486" s="237"/>
      <c r="Q1486" s="237"/>
      <c r="AL1486" s="226"/>
      <c r="AM1486" s="226"/>
    </row>
    <row r="1487" spans="1:39" x14ac:dyDescent="0.25">
      <c r="AA1487" s="237"/>
      <c r="AB1487" s="237"/>
      <c r="AC1487" s="237"/>
      <c r="AD1487" s="237"/>
      <c r="AE1487" s="237"/>
      <c r="AF1487" s="237"/>
      <c r="AG1487" s="237"/>
      <c r="AH1487" s="237"/>
      <c r="AJ1487" s="238"/>
    </row>
    <row r="1488" spans="1:39" ht="12.75" x14ac:dyDescent="0.2">
      <c r="AL1488" s="226"/>
      <c r="AM1488" s="226"/>
    </row>
    <row r="1489" spans="1:39" ht="12.75" x14ac:dyDescent="0.2">
      <c r="A1489" s="236"/>
      <c r="B1489" s="236"/>
      <c r="C1489" s="236"/>
      <c r="D1489" s="236"/>
      <c r="E1489" s="237"/>
      <c r="G1489" s="237"/>
      <c r="H1489" s="237"/>
      <c r="I1489" s="237"/>
      <c r="K1489" s="237"/>
      <c r="N1489" s="237"/>
      <c r="O1489" s="237"/>
      <c r="P1489" s="237"/>
      <c r="Q1489" s="237"/>
      <c r="AL1489" s="226"/>
      <c r="AM1489" s="226"/>
    </row>
    <row r="1490" spans="1:39" x14ac:dyDescent="0.25">
      <c r="AA1490" s="237"/>
      <c r="AB1490" s="237"/>
      <c r="AC1490" s="237"/>
      <c r="AD1490" s="237"/>
      <c r="AE1490" s="237"/>
      <c r="AF1490" s="237"/>
      <c r="AG1490" s="237"/>
      <c r="AH1490" s="237"/>
      <c r="AJ1490" s="238"/>
    </row>
    <row r="1491" spans="1:39" x14ac:dyDescent="0.25">
      <c r="AA1491" s="237"/>
      <c r="AB1491" s="237"/>
      <c r="AC1491" s="237"/>
      <c r="AD1491" s="237"/>
      <c r="AE1491" s="237"/>
      <c r="AF1491" s="237"/>
      <c r="AG1491" s="237"/>
      <c r="AH1491" s="237"/>
      <c r="AJ1491" s="238"/>
    </row>
    <row r="1492" spans="1:39" x14ac:dyDescent="0.25">
      <c r="AA1492" s="237"/>
      <c r="AB1492" s="237"/>
      <c r="AC1492" s="237"/>
      <c r="AD1492" s="237"/>
      <c r="AE1492" s="237"/>
      <c r="AF1492" s="237"/>
      <c r="AG1492" s="237"/>
      <c r="AH1492" s="237"/>
      <c r="AJ1492" s="238"/>
    </row>
    <row r="1493" spans="1:39" ht="12.75" x14ac:dyDescent="0.2">
      <c r="AL1493" s="226"/>
      <c r="AM1493" s="226"/>
    </row>
    <row r="1494" spans="1:39" ht="12.75" x14ac:dyDescent="0.2">
      <c r="A1494" s="236"/>
      <c r="B1494" s="236"/>
      <c r="C1494" s="236"/>
      <c r="D1494" s="236"/>
      <c r="E1494" s="237"/>
      <c r="G1494" s="237"/>
      <c r="H1494" s="237"/>
      <c r="I1494" s="237"/>
      <c r="K1494" s="237"/>
      <c r="N1494" s="237"/>
      <c r="O1494" s="237"/>
      <c r="P1494" s="237"/>
      <c r="Q1494" s="237"/>
      <c r="AL1494" s="226"/>
      <c r="AM1494" s="226"/>
    </row>
    <row r="1495" spans="1:39" x14ac:dyDescent="0.25">
      <c r="AA1495" s="237"/>
      <c r="AB1495" s="237"/>
      <c r="AC1495" s="237"/>
      <c r="AD1495" s="237"/>
      <c r="AE1495" s="237"/>
      <c r="AF1495" s="237"/>
      <c r="AG1495" s="237"/>
      <c r="AH1495" s="237"/>
      <c r="AJ1495" s="238"/>
    </row>
    <row r="1496" spans="1:39" x14ac:dyDescent="0.25">
      <c r="AA1496" s="237"/>
      <c r="AB1496" s="237"/>
      <c r="AC1496" s="237"/>
      <c r="AD1496" s="237"/>
      <c r="AE1496" s="237"/>
      <c r="AF1496" s="237"/>
      <c r="AG1496" s="237"/>
      <c r="AH1496" s="237"/>
      <c r="AJ1496" s="238"/>
    </row>
    <row r="1497" spans="1:39" x14ac:dyDescent="0.25">
      <c r="AA1497" s="237"/>
      <c r="AB1497" s="237"/>
      <c r="AC1497" s="237"/>
      <c r="AD1497" s="237"/>
      <c r="AE1497" s="237"/>
      <c r="AF1497" s="237"/>
      <c r="AG1497" s="237"/>
      <c r="AH1497" s="237"/>
      <c r="AJ1497" s="238"/>
    </row>
    <row r="1498" spans="1:39" x14ac:dyDescent="0.25">
      <c r="AA1498" s="237"/>
      <c r="AB1498" s="237"/>
      <c r="AC1498" s="237"/>
      <c r="AD1498" s="237"/>
      <c r="AE1498" s="237"/>
      <c r="AF1498" s="237"/>
      <c r="AG1498" s="237"/>
      <c r="AH1498" s="237"/>
      <c r="AJ1498" s="238"/>
    </row>
    <row r="1499" spans="1:39" ht="12.75" x14ac:dyDescent="0.2">
      <c r="AL1499" s="226"/>
      <c r="AM1499" s="226"/>
    </row>
    <row r="1500" spans="1:39" ht="12.75" x14ac:dyDescent="0.2">
      <c r="A1500" s="236"/>
      <c r="B1500" s="236"/>
      <c r="C1500" s="236"/>
      <c r="D1500" s="236"/>
      <c r="E1500" s="237"/>
      <c r="G1500" s="237"/>
      <c r="H1500" s="237"/>
      <c r="I1500" s="237"/>
      <c r="K1500" s="237"/>
      <c r="N1500" s="237"/>
      <c r="O1500" s="237"/>
      <c r="P1500" s="237"/>
      <c r="Q1500" s="237"/>
      <c r="AL1500" s="226"/>
      <c r="AM1500" s="226"/>
    </row>
    <row r="1501" spans="1:39" x14ac:dyDescent="0.25">
      <c r="T1501" s="240"/>
      <c r="U1501" s="240"/>
      <c r="V1501" s="240"/>
      <c r="W1501" s="240"/>
      <c r="Y1501" s="240"/>
      <c r="Z1501" s="240"/>
      <c r="AA1501" s="241"/>
      <c r="AB1501" s="241"/>
      <c r="AC1501" s="241"/>
      <c r="AD1501" s="241"/>
      <c r="AE1501" s="241"/>
      <c r="AF1501" s="241"/>
      <c r="AG1501" s="241"/>
      <c r="AH1501" s="241"/>
      <c r="AJ1501" s="238"/>
    </row>
    <row r="1502" spans="1:39" ht="12.75" x14ac:dyDescent="0.2">
      <c r="AL1502" s="226"/>
      <c r="AM1502" s="226"/>
    </row>
    <row r="1503" spans="1:39" ht="12.75" x14ac:dyDescent="0.2">
      <c r="A1503" s="236"/>
      <c r="B1503" s="236"/>
      <c r="C1503" s="236"/>
      <c r="D1503" s="236"/>
      <c r="E1503" s="237"/>
      <c r="G1503" s="237"/>
      <c r="H1503" s="237"/>
      <c r="I1503" s="237"/>
      <c r="K1503" s="237"/>
      <c r="N1503" s="237"/>
      <c r="O1503" s="237"/>
      <c r="P1503" s="237"/>
      <c r="Q1503" s="237"/>
      <c r="AL1503" s="226"/>
      <c r="AM1503" s="226"/>
    </row>
    <row r="1504" spans="1:39" x14ac:dyDescent="0.25">
      <c r="AA1504" s="237"/>
      <c r="AB1504" s="237"/>
      <c r="AC1504" s="237"/>
      <c r="AD1504" s="237"/>
      <c r="AE1504" s="237"/>
      <c r="AF1504" s="237"/>
      <c r="AG1504" s="237"/>
      <c r="AH1504" s="237"/>
      <c r="AJ1504" s="238"/>
    </row>
    <row r="1505" spans="1:39" ht="12.75" x14ac:dyDescent="0.2">
      <c r="AL1505" s="226"/>
      <c r="AM1505" s="226"/>
    </row>
    <row r="1506" spans="1:39" ht="12.75" x14ac:dyDescent="0.2">
      <c r="A1506" s="236"/>
      <c r="B1506" s="236"/>
      <c r="C1506" s="236"/>
      <c r="D1506" s="236"/>
      <c r="E1506" s="237"/>
      <c r="G1506" s="237"/>
      <c r="H1506" s="237"/>
      <c r="I1506" s="237"/>
      <c r="K1506" s="237"/>
      <c r="N1506" s="237"/>
      <c r="O1506" s="237"/>
      <c r="P1506" s="237"/>
      <c r="Q1506" s="237"/>
      <c r="AL1506" s="226"/>
      <c r="AM1506" s="226"/>
    </row>
    <row r="1507" spans="1:39" x14ac:dyDescent="0.25">
      <c r="AA1507" s="237"/>
      <c r="AB1507" s="237"/>
      <c r="AC1507" s="237"/>
      <c r="AD1507" s="237"/>
      <c r="AE1507" s="237"/>
      <c r="AF1507" s="237"/>
      <c r="AG1507" s="237"/>
      <c r="AH1507" s="237"/>
      <c r="AJ1507" s="238"/>
    </row>
    <row r="1508" spans="1:39" ht="12.75" x14ac:dyDescent="0.2">
      <c r="AL1508" s="226"/>
      <c r="AM1508" s="226"/>
    </row>
    <row r="1509" spans="1:39" ht="12.75" x14ac:dyDescent="0.2">
      <c r="A1509" s="236"/>
      <c r="B1509" s="236"/>
      <c r="C1509" s="236"/>
      <c r="D1509" s="236"/>
      <c r="E1509" s="237"/>
      <c r="G1509" s="237"/>
      <c r="H1509" s="237"/>
      <c r="I1509" s="237"/>
      <c r="K1509" s="237"/>
      <c r="N1509" s="237"/>
      <c r="O1509" s="237"/>
      <c r="P1509" s="237"/>
      <c r="Q1509" s="237"/>
      <c r="AL1509" s="226"/>
      <c r="AM1509" s="226"/>
    </row>
    <row r="1510" spans="1:39" x14ac:dyDescent="0.25">
      <c r="AA1510" s="237"/>
      <c r="AB1510" s="237"/>
      <c r="AC1510" s="237"/>
      <c r="AD1510" s="237"/>
      <c r="AE1510" s="237"/>
      <c r="AF1510" s="237"/>
      <c r="AG1510" s="237"/>
      <c r="AH1510" s="237"/>
      <c r="AJ1510" s="238"/>
    </row>
    <row r="1511" spans="1:39" ht="12.75" x14ac:dyDescent="0.2">
      <c r="AL1511" s="226"/>
      <c r="AM1511" s="226"/>
    </row>
    <row r="1512" spans="1:39" ht="12.75" x14ac:dyDescent="0.2">
      <c r="A1512" s="236"/>
      <c r="B1512" s="236"/>
      <c r="C1512" s="236"/>
      <c r="D1512" s="236"/>
      <c r="E1512" s="237"/>
      <c r="G1512" s="237"/>
      <c r="H1512" s="237"/>
      <c r="I1512" s="237"/>
      <c r="K1512" s="237"/>
      <c r="N1512" s="237"/>
      <c r="O1512" s="237"/>
      <c r="P1512" s="237"/>
      <c r="Q1512" s="237"/>
      <c r="AL1512" s="226"/>
      <c r="AM1512" s="226"/>
    </row>
    <row r="1513" spans="1:39" x14ac:dyDescent="0.25">
      <c r="AA1513" s="237"/>
      <c r="AB1513" s="237"/>
      <c r="AC1513" s="237"/>
      <c r="AD1513" s="237"/>
      <c r="AE1513" s="237"/>
      <c r="AF1513" s="237"/>
      <c r="AG1513" s="237"/>
      <c r="AH1513" s="237"/>
      <c r="AJ1513" s="238"/>
    </row>
    <row r="1514" spans="1:39" x14ac:dyDescent="0.25">
      <c r="AA1514" s="237"/>
      <c r="AB1514" s="237"/>
      <c r="AC1514" s="237"/>
      <c r="AD1514" s="237"/>
      <c r="AE1514" s="237"/>
      <c r="AF1514" s="237"/>
      <c r="AG1514" s="237"/>
      <c r="AH1514" s="237"/>
      <c r="AJ1514" s="238"/>
    </row>
    <row r="1515" spans="1:39" x14ac:dyDescent="0.25">
      <c r="AA1515" s="237"/>
      <c r="AB1515" s="237"/>
      <c r="AC1515" s="237"/>
      <c r="AD1515" s="237"/>
      <c r="AE1515" s="237"/>
      <c r="AF1515" s="237"/>
      <c r="AG1515" s="237"/>
      <c r="AH1515" s="237"/>
      <c r="AJ1515" s="238"/>
    </row>
    <row r="1516" spans="1:39" x14ac:dyDescent="0.25">
      <c r="AA1516" s="237"/>
      <c r="AB1516" s="237"/>
      <c r="AC1516" s="237"/>
      <c r="AD1516" s="237"/>
      <c r="AE1516" s="237"/>
      <c r="AF1516" s="237"/>
      <c r="AG1516" s="237"/>
      <c r="AH1516" s="237"/>
      <c r="AJ1516" s="238"/>
    </row>
    <row r="1517" spans="1:39" ht="12.75" x14ac:dyDescent="0.2">
      <c r="AL1517" s="226"/>
      <c r="AM1517" s="226"/>
    </row>
    <row r="1518" spans="1:39" ht="12.75" x14ac:dyDescent="0.2">
      <c r="A1518" s="236"/>
      <c r="B1518" s="236"/>
      <c r="C1518" s="236"/>
      <c r="D1518" s="236"/>
      <c r="E1518" s="237"/>
      <c r="G1518" s="237"/>
      <c r="H1518" s="237"/>
      <c r="I1518" s="237"/>
      <c r="K1518" s="237"/>
      <c r="N1518" s="237"/>
      <c r="O1518" s="237"/>
      <c r="P1518" s="237"/>
      <c r="Q1518" s="237"/>
      <c r="AL1518" s="226"/>
      <c r="AM1518" s="226"/>
    </row>
    <row r="1519" spans="1:39" x14ac:dyDescent="0.25">
      <c r="AA1519" s="237"/>
      <c r="AB1519" s="237"/>
      <c r="AC1519" s="237"/>
      <c r="AD1519" s="237"/>
      <c r="AE1519" s="237"/>
      <c r="AF1519" s="237"/>
      <c r="AG1519" s="237"/>
      <c r="AH1519" s="237"/>
      <c r="AJ1519" s="238"/>
    </row>
    <row r="1520" spans="1:39" ht="12.75" x14ac:dyDescent="0.2">
      <c r="AL1520" s="226"/>
      <c r="AM1520" s="226"/>
    </row>
    <row r="1521" spans="1:39" ht="12.75" x14ac:dyDescent="0.2">
      <c r="A1521" s="236"/>
      <c r="B1521" s="236"/>
      <c r="C1521" s="236"/>
      <c r="D1521" s="236"/>
      <c r="E1521" s="237"/>
      <c r="G1521" s="237"/>
      <c r="H1521" s="237"/>
      <c r="I1521" s="237"/>
      <c r="K1521" s="237"/>
      <c r="N1521" s="237"/>
      <c r="O1521" s="237"/>
      <c r="P1521" s="237"/>
      <c r="Q1521" s="237"/>
      <c r="AL1521" s="226"/>
      <c r="AM1521" s="226"/>
    </row>
    <row r="1522" spans="1:39" x14ac:dyDescent="0.25">
      <c r="AA1522" s="237"/>
      <c r="AB1522" s="237"/>
      <c r="AC1522" s="237"/>
      <c r="AD1522" s="237"/>
      <c r="AE1522" s="237"/>
      <c r="AF1522" s="237"/>
      <c r="AG1522" s="237"/>
      <c r="AH1522" s="237"/>
      <c r="AJ1522" s="238"/>
    </row>
    <row r="1523" spans="1:39" x14ac:dyDescent="0.25">
      <c r="AA1523" s="237"/>
      <c r="AB1523" s="237"/>
      <c r="AC1523" s="237"/>
      <c r="AD1523" s="237"/>
      <c r="AE1523" s="237"/>
      <c r="AF1523" s="237"/>
      <c r="AG1523" s="237"/>
      <c r="AH1523" s="237"/>
      <c r="AJ1523" s="238"/>
    </row>
    <row r="1524" spans="1:39" x14ac:dyDescent="0.25">
      <c r="AA1524" s="237"/>
      <c r="AB1524" s="237"/>
      <c r="AC1524" s="237"/>
      <c r="AD1524" s="237"/>
      <c r="AE1524" s="237"/>
      <c r="AF1524" s="237"/>
      <c r="AG1524" s="237"/>
      <c r="AH1524" s="237"/>
      <c r="AJ1524" s="238"/>
    </row>
    <row r="1525" spans="1:39" x14ac:dyDescent="0.25">
      <c r="AA1525" s="237"/>
      <c r="AB1525" s="237"/>
      <c r="AC1525" s="237"/>
      <c r="AD1525" s="237"/>
      <c r="AE1525" s="237"/>
      <c r="AF1525" s="237"/>
      <c r="AG1525" s="237"/>
      <c r="AH1525" s="237"/>
      <c r="AJ1525" s="238"/>
    </row>
    <row r="1526" spans="1:39" ht="12.75" x14ac:dyDescent="0.2">
      <c r="AL1526" s="226"/>
      <c r="AM1526" s="226"/>
    </row>
    <row r="1527" spans="1:39" ht="12.75" x14ac:dyDescent="0.2">
      <c r="A1527" s="236"/>
      <c r="B1527" s="236"/>
      <c r="C1527" s="236"/>
      <c r="D1527" s="236"/>
      <c r="E1527" s="237"/>
      <c r="G1527" s="237"/>
      <c r="H1527" s="237"/>
      <c r="I1527" s="237"/>
      <c r="K1527" s="237"/>
      <c r="N1527" s="237"/>
      <c r="O1527" s="237"/>
      <c r="P1527" s="237"/>
      <c r="Q1527" s="237"/>
      <c r="AL1527" s="226"/>
      <c r="AM1527" s="226"/>
    </row>
    <row r="1528" spans="1:39" x14ac:dyDescent="0.25">
      <c r="AA1528" s="237"/>
      <c r="AB1528" s="237"/>
      <c r="AC1528" s="237"/>
      <c r="AD1528" s="237"/>
      <c r="AE1528" s="237"/>
      <c r="AF1528" s="237"/>
      <c r="AG1528" s="237"/>
      <c r="AH1528" s="237"/>
      <c r="AJ1528" s="238"/>
    </row>
    <row r="1529" spans="1:39" ht="12.75" x14ac:dyDescent="0.2">
      <c r="AL1529" s="226"/>
      <c r="AM1529" s="226"/>
    </row>
    <row r="1530" spans="1:39" ht="12.75" x14ac:dyDescent="0.2">
      <c r="A1530" s="236"/>
      <c r="B1530" s="236"/>
      <c r="C1530" s="236"/>
      <c r="D1530" s="236"/>
      <c r="E1530" s="237"/>
      <c r="G1530" s="237"/>
      <c r="H1530" s="237"/>
      <c r="I1530" s="237"/>
      <c r="K1530" s="237"/>
      <c r="N1530" s="237"/>
      <c r="O1530" s="237"/>
      <c r="P1530" s="237"/>
      <c r="Q1530" s="237"/>
      <c r="AL1530" s="226"/>
      <c r="AM1530" s="226"/>
    </row>
    <row r="1531" spans="1:39" x14ac:dyDescent="0.25">
      <c r="AA1531" s="237"/>
      <c r="AB1531" s="237"/>
      <c r="AC1531" s="237"/>
      <c r="AD1531" s="237"/>
      <c r="AE1531" s="237"/>
      <c r="AF1531" s="237"/>
      <c r="AG1531" s="237"/>
      <c r="AH1531" s="237"/>
      <c r="AJ1531" s="238"/>
    </row>
    <row r="1532" spans="1:39" ht="12.75" x14ac:dyDescent="0.2">
      <c r="AL1532" s="226"/>
      <c r="AM1532" s="226"/>
    </row>
    <row r="1533" spans="1:39" ht="12.75" x14ac:dyDescent="0.2">
      <c r="A1533" s="236"/>
      <c r="B1533" s="236"/>
      <c r="C1533" s="236"/>
      <c r="D1533" s="236"/>
      <c r="E1533" s="237"/>
      <c r="G1533" s="237"/>
      <c r="H1533" s="237"/>
      <c r="I1533" s="237"/>
      <c r="K1533" s="237"/>
      <c r="N1533" s="237"/>
      <c r="O1533" s="237"/>
      <c r="P1533" s="237"/>
      <c r="Q1533" s="237"/>
      <c r="AL1533" s="226"/>
      <c r="AM1533" s="226"/>
    </row>
    <row r="1534" spans="1:39" x14ac:dyDescent="0.25">
      <c r="AA1534" s="237"/>
      <c r="AB1534" s="237"/>
      <c r="AC1534" s="237"/>
      <c r="AD1534" s="237"/>
      <c r="AE1534" s="237"/>
      <c r="AF1534" s="237"/>
      <c r="AG1534" s="237"/>
      <c r="AH1534" s="237"/>
      <c r="AJ1534" s="238"/>
    </row>
    <row r="1535" spans="1:39" x14ac:dyDescent="0.25">
      <c r="AA1535" s="237"/>
      <c r="AB1535" s="237"/>
      <c r="AC1535" s="237"/>
      <c r="AD1535" s="237"/>
      <c r="AE1535" s="237"/>
      <c r="AF1535" s="237"/>
      <c r="AG1535" s="237"/>
      <c r="AH1535" s="237"/>
      <c r="AJ1535" s="238"/>
    </row>
    <row r="1536" spans="1:39" x14ac:dyDescent="0.25">
      <c r="AA1536" s="237"/>
      <c r="AB1536" s="237"/>
      <c r="AC1536" s="237"/>
      <c r="AD1536" s="237"/>
      <c r="AE1536" s="237"/>
      <c r="AF1536" s="237"/>
      <c r="AG1536" s="237"/>
      <c r="AH1536" s="237"/>
      <c r="AJ1536" s="238"/>
    </row>
    <row r="1537" spans="1:39" x14ac:dyDescent="0.25">
      <c r="AA1537" s="237"/>
      <c r="AB1537" s="237"/>
      <c r="AC1537" s="237"/>
      <c r="AD1537" s="237"/>
      <c r="AE1537" s="237"/>
      <c r="AF1537" s="237"/>
      <c r="AG1537" s="237"/>
      <c r="AH1537" s="237"/>
      <c r="AJ1537" s="238"/>
    </row>
    <row r="1538" spans="1:39" ht="12.75" x14ac:dyDescent="0.2">
      <c r="AL1538" s="226"/>
      <c r="AM1538" s="226"/>
    </row>
    <row r="1539" spans="1:39" ht="12.75" x14ac:dyDescent="0.2">
      <c r="A1539" s="236"/>
      <c r="B1539" s="236"/>
      <c r="C1539" s="236"/>
      <c r="D1539" s="236"/>
      <c r="E1539" s="237"/>
      <c r="G1539" s="237"/>
      <c r="H1539" s="237"/>
      <c r="I1539" s="237"/>
      <c r="K1539" s="237"/>
      <c r="N1539" s="237"/>
      <c r="O1539" s="237"/>
      <c r="P1539" s="237"/>
      <c r="Q1539" s="237"/>
      <c r="AL1539" s="226"/>
      <c r="AM1539" s="226"/>
    </row>
    <row r="1540" spans="1:39" x14ac:dyDescent="0.25">
      <c r="AA1540" s="237"/>
      <c r="AB1540" s="237"/>
      <c r="AC1540" s="237"/>
      <c r="AD1540" s="237"/>
      <c r="AE1540" s="237"/>
      <c r="AF1540" s="237"/>
      <c r="AG1540" s="237"/>
      <c r="AH1540" s="237"/>
      <c r="AJ1540" s="238"/>
    </row>
    <row r="1541" spans="1:39" x14ac:dyDescent="0.25">
      <c r="AA1541" s="237"/>
      <c r="AB1541" s="237"/>
      <c r="AC1541" s="237"/>
      <c r="AD1541" s="237"/>
      <c r="AE1541" s="237"/>
      <c r="AF1541" s="237"/>
      <c r="AG1541" s="237"/>
      <c r="AH1541" s="237"/>
      <c r="AJ1541" s="238"/>
    </row>
    <row r="1542" spans="1:39" x14ac:dyDescent="0.25">
      <c r="AA1542" s="237"/>
      <c r="AB1542" s="237"/>
      <c r="AC1542" s="237"/>
      <c r="AD1542" s="237"/>
      <c r="AE1542" s="237"/>
      <c r="AF1542" s="237"/>
      <c r="AG1542" s="237"/>
      <c r="AH1542" s="237"/>
      <c r="AJ1542" s="238"/>
    </row>
    <row r="1543" spans="1:39" x14ac:dyDescent="0.25">
      <c r="AA1543" s="237"/>
      <c r="AB1543" s="237"/>
      <c r="AC1543" s="237"/>
      <c r="AD1543" s="237"/>
      <c r="AE1543" s="237"/>
      <c r="AF1543" s="237"/>
      <c r="AG1543" s="237"/>
      <c r="AH1543" s="237"/>
      <c r="AJ1543" s="238"/>
    </row>
    <row r="1544" spans="1:39" x14ac:dyDescent="0.25">
      <c r="AA1544" s="237"/>
      <c r="AB1544" s="237"/>
      <c r="AC1544" s="237"/>
      <c r="AD1544" s="237"/>
      <c r="AE1544" s="237"/>
      <c r="AF1544" s="237"/>
      <c r="AG1544" s="237"/>
      <c r="AH1544" s="237"/>
      <c r="AJ1544" s="238"/>
    </row>
    <row r="1545" spans="1:39" x14ac:dyDescent="0.25">
      <c r="AA1545" s="237"/>
      <c r="AB1545" s="237"/>
      <c r="AC1545" s="237"/>
      <c r="AD1545" s="237"/>
      <c r="AE1545" s="237"/>
      <c r="AF1545" s="237"/>
      <c r="AG1545" s="237"/>
      <c r="AH1545" s="237"/>
      <c r="AJ1545" s="238"/>
    </row>
    <row r="1546" spans="1:39" x14ac:dyDescent="0.25">
      <c r="AA1546" s="237"/>
      <c r="AB1546" s="237"/>
      <c r="AC1546" s="237"/>
      <c r="AD1546" s="237"/>
      <c r="AE1546" s="237"/>
      <c r="AF1546" s="237"/>
      <c r="AG1546" s="237"/>
      <c r="AH1546" s="237"/>
      <c r="AJ1546" s="238"/>
    </row>
    <row r="1547" spans="1:39" x14ac:dyDescent="0.25">
      <c r="AA1547" s="237"/>
      <c r="AB1547" s="237"/>
      <c r="AC1547" s="237"/>
      <c r="AD1547" s="237"/>
      <c r="AE1547" s="237"/>
      <c r="AF1547" s="237"/>
      <c r="AG1547" s="237"/>
      <c r="AH1547" s="237"/>
      <c r="AJ1547" s="238"/>
    </row>
    <row r="1548" spans="1:39" x14ac:dyDescent="0.25">
      <c r="AA1548" s="237"/>
      <c r="AB1548" s="237"/>
      <c r="AC1548" s="237"/>
      <c r="AD1548" s="237"/>
      <c r="AE1548" s="237"/>
      <c r="AF1548" s="237"/>
      <c r="AG1548" s="237"/>
      <c r="AH1548" s="237"/>
      <c r="AJ1548" s="238"/>
    </row>
    <row r="1549" spans="1:39" x14ac:dyDescent="0.25">
      <c r="AA1549" s="237"/>
      <c r="AB1549" s="237"/>
      <c r="AC1549" s="237"/>
      <c r="AD1549" s="237"/>
      <c r="AE1549" s="237"/>
      <c r="AF1549" s="237"/>
      <c r="AG1549" s="237"/>
      <c r="AH1549" s="237"/>
      <c r="AJ1549" s="238"/>
    </row>
    <row r="1550" spans="1:39" x14ac:dyDescent="0.25">
      <c r="AA1550" s="237"/>
      <c r="AB1550" s="237"/>
      <c r="AC1550" s="237"/>
      <c r="AD1550" s="237"/>
      <c r="AE1550" s="237"/>
      <c r="AF1550" s="237"/>
      <c r="AG1550" s="237"/>
      <c r="AH1550" s="237"/>
      <c r="AJ1550" s="238"/>
    </row>
    <row r="1551" spans="1:39" x14ac:dyDescent="0.25">
      <c r="AA1551" s="237"/>
      <c r="AB1551" s="237"/>
      <c r="AC1551" s="237"/>
      <c r="AD1551" s="237"/>
      <c r="AE1551" s="237"/>
      <c r="AF1551" s="237"/>
      <c r="AG1551" s="237"/>
      <c r="AH1551" s="237"/>
      <c r="AJ1551" s="238"/>
    </row>
    <row r="1552" spans="1:39" x14ac:dyDescent="0.25">
      <c r="AA1552" s="237"/>
      <c r="AB1552" s="237"/>
      <c r="AC1552" s="237"/>
      <c r="AD1552" s="237"/>
      <c r="AE1552" s="237"/>
      <c r="AF1552" s="237"/>
      <c r="AG1552" s="237"/>
      <c r="AH1552" s="237"/>
      <c r="AJ1552" s="238"/>
    </row>
    <row r="1553" spans="1:39" x14ac:dyDescent="0.25">
      <c r="AA1553" s="237"/>
      <c r="AB1553" s="237"/>
      <c r="AC1553" s="237"/>
      <c r="AD1553" s="237"/>
      <c r="AE1553" s="237"/>
      <c r="AF1553" s="237"/>
      <c r="AG1553" s="237"/>
      <c r="AH1553" s="237"/>
      <c r="AJ1553" s="238"/>
    </row>
    <row r="1554" spans="1:39" x14ac:dyDescent="0.25">
      <c r="AA1554" s="237"/>
      <c r="AB1554" s="237"/>
      <c r="AC1554" s="237"/>
      <c r="AD1554" s="237"/>
      <c r="AE1554" s="237"/>
      <c r="AF1554" s="237"/>
      <c r="AG1554" s="237"/>
      <c r="AH1554" s="237"/>
      <c r="AJ1554" s="238"/>
    </row>
    <row r="1555" spans="1:39" x14ac:dyDescent="0.25">
      <c r="AA1555" s="237"/>
      <c r="AB1555" s="237"/>
      <c r="AC1555" s="237"/>
      <c r="AD1555" s="237"/>
      <c r="AE1555" s="237"/>
      <c r="AF1555" s="237"/>
      <c r="AG1555" s="237"/>
      <c r="AH1555" s="237"/>
      <c r="AJ1555" s="238"/>
    </row>
    <row r="1556" spans="1:39" x14ac:dyDescent="0.25">
      <c r="AA1556" s="237"/>
      <c r="AB1556" s="237"/>
      <c r="AC1556" s="237"/>
      <c r="AD1556" s="237"/>
      <c r="AE1556" s="237"/>
      <c r="AF1556" s="237"/>
      <c r="AG1556" s="237"/>
      <c r="AH1556" s="237"/>
      <c r="AJ1556" s="238"/>
    </row>
    <row r="1557" spans="1:39" x14ac:dyDescent="0.25">
      <c r="AA1557" s="237"/>
      <c r="AB1557" s="237"/>
      <c r="AC1557" s="237"/>
      <c r="AD1557" s="237"/>
      <c r="AE1557" s="237"/>
      <c r="AF1557" s="237"/>
      <c r="AG1557" s="237"/>
      <c r="AH1557" s="237"/>
      <c r="AJ1557" s="238"/>
    </row>
    <row r="1558" spans="1:39" x14ac:dyDescent="0.25">
      <c r="AA1558" s="237"/>
      <c r="AB1558" s="237"/>
      <c r="AC1558" s="237"/>
      <c r="AD1558" s="237"/>
      <c r="AE1558" s="237"/>
      <c r="AF1558" s="237"/>
      <c r="AG1558" s="237"/>
      <c r="AH1558" s="237"/>
      <c r="AJ1558" s="238"/>
    </row>
    <row r="1559" spans="1:39" ht="12.75" x14ac:dyDescent="0.2">
      <c r="AL1559" s="226"/>
      <c r="AM1559" s="226"/>
    </row>
    <row r="1560" spans="1:39" ht="12.75" x14ac:dyDescent="0.2">
      <c r="A1560" s="236"/>
      <c r="B1560" s="236"/>
      <c r="C1560" s="236"/>
      <c r="D1560" s="236"/>
      <c r="E1560" s="237"/>
      <c r="G1560" s="237"/>
      <c r="H1560" s="237"/>
      <c r="I1560" s="237"/>
      <c r="K1560" s="237"/>
      <c r="N1560" s="237"/>
      <c r="O1560" s="237"/>
      <c r="P1560" s="237"/>
      <c r="Q1560" s="237"/>
      <c r="AL1560" s="226"/>
      <c r="AM1560" s="226"/>
    </row>
    <row r="1561" spans="1:39" x14ac:dyDescent="0.25">
      <c r="AA1561" s="237"/>
      <c r="AB1561" s="237"/>
      <c r="AC1561" s="237"/>
      <c r="AD1561" s="237"/>
      <c r="AE1561" s="237"/>
      <c r="AF1561" s="237"/>
      <c r="AG1561" s="237"/>
      <c r="AH1561" s="237"/>
      <c r="AJ1561" s="238"/>
    </row>
    <row r="1562" spans="1:39" x14ac:dyDescent="0.25">
      <c r="AA1562" s="237"/>
      <c r="AB1562" s="237"/>
      <c r="AC1562" s="237"/>
      <c r="AD1562" s="237"/>
      <c r="AE1562" s="237"/>
      <c r="AF1562" s="237"/>
      <c r="AG1562" s="237"/>
      <c r="AH1562" s="237"/>
      <c r="AJ1562" s="238"/>
    </row>
    <row r="1563" spans="1:39" x14ac:dyDescent="0.25">
      <c r="AA1563" s="237"/>
      <c r="AB1563" s="237"/>
      <c r="AC1563" s="237"/>
      <c r="AD1563" s="237"/>
      <c r="AE1563" s="237"/>
      <c r="AF1563" s="237"/>
      <c r="AG1563" s="237"/>
      <c r="AH1563" s="237"/>
      <c r="AJ1563" s="238"/>
    </row>
    <row r="1564" spans="1:39" x14ac:dyDescent="0.25">
      <c r="AA1564" s="237"/>
      <c r="AB1564" s="237"/>
      <c r="AC1564" s="237"/>
      <c r="AD1564" s="237"/>
      <c r="AE1564" s="237"/>
      <c r="AF1564" s="237"/>
      <c r="AG1564" s="237"/>
      <c r="AH1564" s="237"/>
      <c r="AJ1564" s="238"/>
    </row>
    <row r="1565" spans="1:39" x14ac:dyDescent="0.25">
      <c r="AA1565" s="237"/>
      <c r="AB1565" s="237"/>
      <c r="AC1565" s="237"/>
      <c r="AD1565" s="237"/>
      <c r="AE1565" s="237"/>
      <c r="AF1565" s="237"/>
      <c r="AG1565" s="237"/>
      <c r="AH1565" s="237"/>
      <c r="AJ1565" s="238"/>
    </row>
    <row r="1566" spans="1:39" x14ac:dyDescent="0.25">
      <c r="AA1566" s="237"/>
      <c r="AB1566" s="237"/>
      <c r="AC1566" s="237"/>
      <c r="AD1566" s="237"/>
      <c r="AE1566" s="237"/>
      <c r="AF1566" s="237"/>
      <c r="AG1566" s="237"/>
      <c r="AH1566" s="237"/>
      <c r="AJ1566" s="238"/>
    </row>
    <row r="1567" spans="1:39" x14ac:dyDescent="0.25">
      <c r="AA1567" s="237"/>
      <c r="AB1567" s="237"/>
      <c r="AC1567" s="237"/>
      <c r="AD1567" s="237"/>
      <c r="AE1567" s="237"/>
      <c r="AF1567" s="237"/>
      <c r="AG1567" s="237"/>
      <c r="AH1567" s="237"/>
      <c r="AJ1567" s="238"/>
    </row>
    <row r="1568" spans="1:39" x14ac:dyDescent="0.25">
      <c r="AA1568" s="237"/>
      <c r="AB1568" s="237"/>
      <c r="AC1568" s="237"/>
      <c r="AD1568" s="237"/>
      <c r="AE1568" s="237"/>
      <c r="AF1568" s="237"/>
      <c r="AG1568" s="237"/>
      <c r="AH1568" s="237"/>
      <c r="AJ1568" s="238"/>
    </row>
    <row r="1569" spans="27:36" x14ac:dyDescent="0.25">
      <c r="AA1569" s="237"/>
      <c r="AB1569" s="237"/>
      <c r="AC1569" s="237"/>
      <c r="AD1569" s="237"/>
      <c r="AE1569" s="237"/>
      <c r="AF1569" s="237"/>
      <c r="AG1569" s="237"/>
      <c r="AH1569" s="237"/>
      <c r="AJ1569" s="238"/>
    </row>
    <row r="1570" spans="27:36" x14ac:dyDescent="0.25">
      <c r="AA1570" s="237"/>
      <c r="AB1570" s="237"/>
      <c r="AC1570" s="237"/>
      <c r="AD1570" s="237"/>
      <c r="AE1570" s="237"/>
      <c r="AF1570" s="237"/>
      <c r="AG1570" s="237"/>
      <c r="AH1570" s="237"/>
      <c r="AJ1570" s="238"/>
    </row>
    <row r="1571" spans="27:36" x14ac:dyDescent="0.25">
      <c r="AA1571" s="237"/>
      <c r="AB1571" s="237"/>
      <c r="AC1571" s="237"/>
      <c r="AD1571" s="237"/>
      <c r="AE1571" s="237"/>
      <c r="AF1571" s="237"/>
      <c r="AG1571" s="237"/>
      <c r="AH1571" s="237"/>
      <c r="AJ1571" s="238"/>
    </row>
    <row r="1572" spans="27:36" x14ac:dyDescent="0.25">
      <c r="AA1572" s="237"/>
      <c r="AB1572" s="237"/>
      <c r="AC1572" s="237"/>
      <c r="AD1572" s="237"/>
      <c r="AE1572" s="237"/>
      <c r="AF1572" s="237"/>
      <c r="AG1572" s="237"/>
      <c r="AH1572" s="237"/>
      <c r="AJ1572" s="238"/>
    </row>
    <row r="1573" spans="27:36" x14ac:dyDescent="0.25">
      <c r="AA1573" s="237"/>
      <c r="AB1573" s="237"/>
      <c r="AC1573" s="237"/>
      <c r="AD1573" s="237"/>
      <c r="AE1573" s="237"/>
      <c r="AF1573" s="237"/>
      <c r="AG1573" s="237"/>
      <c r="AH1573" s="237"/>
      <c r="AJ1573" s="238"/>
    </row>
    <row r="1574" spans="27:36" x14ac:dyDescent="0.25">
      <c r="AA1574" s="237"/>
      <c r="AB1574" s="237"/>
      <c r="AC1574" s="237"/>
      <c r="AD1574" s="237"/>
      <c r="AE1574" s="237"/>
      <c r="AF1574" s="237"/>
      <c r="AG1574" s="237"/>
      <c r="AH1574" s="237"/>
      <c r="AJ1574" s="238"/>
    </row>
    <row r="1575" spans="27:36" x14ac:dyDescent="0.25">
      <c r="AA1575" s="237"/>
      <c r="AB1575" s="237"/>
      <c r="AC1575" s="237"/>
      <c r="AD1575" s="237"/>
      <c r="AE1575" s="237"/>
      <c r="AF1575" s="237"/>
      <c r="AG1575" s="237"/>
      <c r="AH1575" s="237"/>
      <c r="AJ1575" s="238"/>
    </row>
    <row r="1576" spans="27:36" x14ac:dyDescent="0.25">
      <c r="AA1576" s="237"/>
      <c r="AB1576" s="237"/>
      <c r="AC1576" s="237"/>
      <c r="AD1576" s="237"/>
      <c r="AE1576" s="237"/>
      <c r="AF1576" s="237"/>
      <c r="AG1576" s="237"/>
      <c r="AH1576" s="237"/>
      <c r="AJ1576" s="238"/>
    </row>
    <row r="1577" spans="27:36" x14ac:dyDescent="0.25">
      <c r="AA1577" s="237"/>
      <c r="AB1577" s="237"/>
      <c r="AC1577" s="237"/>
      <c r="AD1577" s="237"/>
      <c r="AE1577" s="237"/>
      <c r="AF1577" s="237"/>
      <c r="AG1577" s="237"/>
      <c r="AH1577" s="237"/>
      <c r="AJ1577" s="238"/>
    </row>
    <row r="1578" spans="27:36" x14ac:dyDescent="0.25">
      <c r="AA1578" s="237"/>
      <c r="AB1578" s="237"/>
      <c r="AC1578" s="237"/>
      <c r="AD1578" s="237"/>
      <c r="AE1578" s="237"/>
      <c r="AF1578" s="237"/>
      <c r="AG1578" s="237"/>
      <c r="AH1578" s="237"/>
      <c r="AJ1578" s="238"/>
    </row>
    <row r="1579" spans="27:36" x14ac:dyDescent="0.25">
      <c r="AA1579" s="237"/>
      <c r="AB1579" s="237"/>
      <c r="AC1579" s="237"/>
      <c r="AD1579" s="237"/>
      <c r="AE1579" s="237"/>
      <c r="AF1579" s="237"/>
      <c r="AG1579" s="237"/>
      <c r="AH1579" s="237"/>
      <c r="AJ1579" s="238"/>
    </row>
    <row r="1580" spans="27:36" x14ac:dyDescent="0.25">
      <c r="AA1580" s="237"/>
      <c r="AB1580" s="237"/>
      <c r="AC1580" s="237"/>
      <c r="AD1580" s="237"/>
      <c r="AE1580" s="237"/>
      <c r="AF1580" s="237"/>
      <c r="AG1580" s="237"/>
      <c r="AH1580" s="237"/>
      <c r="AJ1580" s="238"/>
    </row>
    <row r="1581" spans="27:36" x14ac:dyDescent="0.25">
      <c r="AA1581" s="237"/>
      <c r="AB1581" s="237"/>
      <c r="AC1581" s="237"/>
      <c r="AD1581" s="237"/>
      <c r="AE1581" s="237"/>
      <c r="AF1581" s="237"/>
      <c r="AG1581" s="237"/>
      <c r="AH1581" s="237"/>
      <c r="AJ1581" s="238"/>
    </row>
    <row r="1582" spans="27:36" x14ac:dyDescent="0.25">
      <c r="AA1582" s="237"/>
      <c r="AB1582" s="237"/>
      <c r="AC1582" s="237"/>
      <c r="AD1582" s="237"/>
      <c r="AE1582" s="237"/>
      <c r="AF1582" s="237"/>
      <c r="AG1582" s="237"/>
      <c r="AH1582" s="237"/>
      <c r="AJ1582" s="238"/>
    </row>
    <row r="1583" spans="27:36" x14ac:dyDescent="0.25">
      <c r="AA1583" s="237"/>
      <c r="AB1583" s="237"/>
      <c r="AC1583" s="237"/>
      <c r="AD1583" s="237"/>
      <c r="AE1583" s="237"/>
      <c r="AF1583" s="237"/>
      <c r="AG1583" s="237"/>
      <c r="AH1583" s="237"/>
      <c r="AJ1583" s="238"/>
    </row>
    <row r="1584" spans="27:36" x14ac:dyDescent="0.25">
      <c r="AA1584" s="237"/>
      <c r="AB1584" s="237"/>
      <c r="AC1584" s="237"/>
      <c r="AD1584" s="237"/>
      <c r="AE1584" s="237"/>
      <c r="AF1584" s="237"/>
      <c r="AG1584" s="237"/>
      <c r="AH1584" s="237"/>
      <c r="AJ1584" s="238"/>
    </row>
    <row r="1585" spans="1:39" x14ac:dyDescent="0.25">
      <c r="AA1585" s="237"/>
      <c r="AB1585" s="237"/>
      <c r="AC1585" s="237"/>
      <c r="AD1585" s="237"/>
      <c r="AE1585" s="237"/>
      <c r="AF1585" s="237"/>
      <c r="AG1585" s="237"/>
      <c r="AH1585" s="237"/>
      <c r="AJ1585" s="238"/>
    </row>
    <row r="1586" spans="1:39" ht="12.75" x14ac:dyDescent="0.2">
      <c r="AL1586" s="226"/>
      <c r="AM1586" s="226"/>
    </row>
    <row r="1587" spans="1:39" ht="12.75" x14ac:dyDescent="0.2">
      <c r="A1587" s="236"/>
      <c r="B1587" s="236"/>
      <c r="C1587" s="236"/>
      <c r="D1587" s="236"/>
      <c r="E1587" s="237"/>
      <c r="G1587" s="237"/>
      <c r="H1587" s="237"/>
      <c r="I1587" s="237"/>
      <c r="K1587" s="237"/>
      <c r="N1587" s="237"/>
      <c r="O1587" s="237"/>
      <c r="P1587" s="237"/>
      <c r="Q1587" s="237"/>
      <c r="AL1587" s="226"/>
      <c r="AM1587" s="226"/>
    </row>
    <row r="1588" spans="1:39" x14ac:dyDescent="0.25">
      <c r="AA1588" s="237"/>
      <c r="AB1588" s="237"/>
      <c r="AC1588" s="237"/>
      <c r="AD1588" s="237"/>
      <c r="AE1588" s="237"/>
      <c r="AF1588" s="237"/>
      <c r="AG1588" s="237"/>
      <c r="AH1588" s="237"/>
      <c r="AJ1588" s="238"/>
    </row>
    <row r="1589" spans="1:39" ht="12.75" x14ac:dyDescent="0.2">
      <c r="AL1589" s="226"/>
      <c r="AM1589" s="226"/>
    </row>
    <row r="1590" spans="1:39" ht="12.75" x14ac:dyDescent="0.2">
      <c r="A1590" s="236"/>
      <c r="B1590" s="236"/>
      <c r="C1590" s="236"/>
      <c r="D1590" s="236"/>
      <c r="E1590" s="237"/>
      <c r="G1590" s="237"/>
      <c r="H1590" s="237"/>
      <c r="I1590" s="237"/>
      <c r="K1590" s="237"/>
      <c r="N1590" s="237"/>
      <c r="O1590" s="237"/>
      <c r="P1590" s="237"/>
      <c r="Q1590" s="237"/>
      <c r="AL1590" s="226"/>
      <c r="AM1590" s="226"/>
    </row>
    <row r="1591" spans="1:39" x14ac:dyDescent="0.25">
      <c r="AA1591" s="237"/>
      <c r="AB1591" s="237"/>
      <c r="AC1591" s="237"/>
      <c r="AD1591" s="237"/>
      <c r="AE1591" s="237"/>
      <c r="AF1591" s="237"/>
      <c r="AG1591" s="237"/>
      <c r="AH1591" s="237"/>
      <c r="AJ1591" s="238"/>
    </row>
    <row r="1592" spans="1:39" ht="12.75" x14ac:dyDescent="0.2">
      <c r="AL1592" s="226"/>
      <c r="AM1592" s="226"/>
    </row>
    <row r="1593" spans="1:39" ht="12.75" x14ac:dyDescent="0.2">
      <c r="A1593" s="236"/>
      <c r="B1593" s="236"/>
      <c r="C1593" s="236"/>
      <c r="D1593" s="236"/>
      <c r="E1593" s="237"/>
      <c r="G1593" s="237"/>
      <c r="H1593" s="237"/>
      <c r="I1593" s="237"/>
      <c r="K1593" s="237"/>
      <c r="N1593" s="237"/>
      <c r="O1593" s="237"/>
      <c r="P1593" s="237"/>
      <c r="Q1593" s="237"/>
      <c r="AL1593" s="226"/>
      <c r="AM1593" s="226"/>
    </row>
    <row r="1594" spans="1:39" x14ac:dyDescent="0.25">
      <c r="AA1594" s="237"/>
      <c r="AB1594" s="237"/>
      <c r="AC1594" s="237"/>
      <c r="AD1594" s="237"/>
      <c r="AE1594" s="237"/>
      <c r="AF1594" s="237"/>
      <c r="AG1594" s="237"/>
      <c r="AH1594" s="237"/>
      <c r="AJ1594" s="238"/>
    </row>
    <row r="1595" spans="1:39" ht="12.75" x14ac:dyDescent="0.2">
      <c r="AL1595" s="226"/>
      <c r="AM1595" s="226"/>
    </row>
    <row r="1596" spans="1:39" ht="12.75" x14ac:dyDescent="0.2">
      <c r="A1596" s="236"/>
      <c r="B1596" s="236"/>
      <c r="C1596" s="236"/>
      <c r="D1596" s="236"/>
      <c r="E1596" s="237"/>
      <c r="G1596" s="237"/>
      <c r="H1596" s="237"/>
      <c r="I1596" s="237"/>
      <c r="K1596" s="237"/>
      <c r="N1596" s="237"/>
      <c r="O1596" s="237"/>
      <c r="P1596" s="237"/>
      <c r="Q1596" s="237"/>
      <c r="AL1596" s="226"/>
      <c r="AM1596" s="226"/>
    </row>
    <row r="1597" spans="1:39" x14ac:dyDescent="0.25">
      <c r="AA1597" s="237"/>
      <c r="AB1597" s="237"/>
      <c r="AC1597" s="237"/>
      <c r="AD1597" s="237"/>
      <c r="AE1597" s="237"/>
      <c r="AF1597" s="237"/>
      <c r="AG1597" s="237"/>
      <c r="AH1597" s="237"/>
      <c r="AJ1597" s="238"/>
    </row>
    <row r="1598" spans="1:39" x14ac:dyDescent="0.25">
      <c r="AA1598" s="237"/>
      <c r="AB1598" s="237"/>
      <c r="AC1598" s="237"/>
      <c r="AD1598" s="237"/>
      <c r="AE1598" s="237"/>
      <c r="AF1598" s="237"/>
      <c r="AG1598" s="237"/>
      <c r="AH1598" s="237"/>
      <c r="AJ1598" s="238"/>
    </row>
    <row r="1599" spans="1:39" ht="12.75" x14ac:dyDescent="0.2">
      <c r="AL1599" s="226"/>
      <c r="AM1599" s="226"/>
    </row>
    <row r="1600" spans="1:39" ht="12.75" x14ac:dyDescent="0.2">
      <c r="A1600" s="236"/>
      <c r="B1600" s="236"/>
      <c r="C1600" s="236"/>
      <c r="D1600" s="236"/>
      <c r="E1600" s="237"/>
      <c r="G1600" s="237"/>
      <c r="H1600" s="237"/>
      <c r="I1600" s="237"/>
      <c r="K1600" s="237"/>
      <c r="N1600" s="237"/>
      <c r="O1600" s="237"/>
      <c r="P1600" s="237"/>
      <c r="Q1600" s="237"/>
      <c r="AL1600" s="226"/>
      <c r="AM1600" s="226"/>
    </row>
    <row r="1601" spans="1:39" x14ac:dyDescent="0.25">
      <c r="AA1601" s="237"/>
      <c r="AB1601" s="237"/>
      <c r="AC1601" s="237"/>
      <c r="AD1601" s="237"/>
      <c r="AE1601" s="237"/>
      <c r="AF1601" s="237"/>
      <c r="AG1601" s="237"/>
      <c r="AH1601" s="237"/>
      <c r="AJ1601" s="238"/>
    </row>
    <row r="1602" spans="1:39" x14ac:dyDescent="0.25">
      <c r="AA1602" s="237"/>
      <c r="AB1602" s="237"/>
      <c r="AC1602" s="237"/>
      <c r="AD1602" s="237"/>
      <c r="AE1602" s="237"/>
      <c r="AF1602" s="237"/>
      <c r="AG1602" s="237"/>
      <c r="AH1602" s="237"/>
      <c r="AJ1602" s="238"/>
    </row>
    <row r="1603" spans="1:39" ht="12.75" x14ac:dyDescent="0.2">
      <c r="AL1603" s="226"/>
      <c r="AM1603" s="226"/>
    </row>
    <row r="1604" spans="1:39" ht="12.75" x14ac:dyDescent="0.2">
      <c r="A1604" s="236"/>
      <c r="B1604" s="236"/>
      <c r="C1604" s="236"/>
      <c r="D1604" s="236"/>
      <c r="E1604" s="237"/>
      <c r="G1604" s="237"/>
      <c r="H1604" s="237"/>
      <c r="I1604" s="237"/>
      <c r="K1604" s="237"/>
      <c r="N1604" s="237"/>
      <c r="O1604" s="237"/>
      <c r="P1604" s="237"/>
      <c r="Q1604" s="237"/>
      <c r="AL1604" s="226"/>
      <c r="AM1604" s="226"/>
    </row>
    <row r="1605" spans="1:39" x14ac:dyDescent="0.25">
      <c r="AA1605" s="237"/>
      <c r="AB1605" s="237"/>
      <c r="AC1605" s="237"/>
      <c r="AD1605" s="237"/>
      <c r="AE1605" s="237"/>
      <c r="AF1605" s="237"/>
      <c r="AG1605" s="237"/>
      <c r="AH1605" s="237"/>
      <c r="AJ1605" s="238"/>
    </row>
    <row r="1606" spans="1:39" ht="12.75" x14ac:dyDescent="0.2">
      <c r="AL1606" s="226"/>
      <c r="AM1606" s="226"/>
    </row>
    <row r="1607" spans="1:39" ht="12.75" x14ac:dyDescent="0.2">
      <c r="A1607" s="236"/>
      <c r="B1607" s="236"/>
      <c r="C1607" s="236"/>
      <c r="D1607" s="236"/>
      <c r="E1607" s="237"/>
      <c r="G1607" s="237"/>
      <c r="H1607" s="237"/>
      <c r="I1607" s="237"/>
      <c r="K1607" s="237"/>
      <c r="N1607" s="237"/>
      <c r="O1607" s="237"/>
      <c r="P1607" s="237"/>
      <c r="Q1607" s="237"/>
      <c r="AL1607" s="226"/>
      <c r="AM1607" s="226"/>
    </row>
    <row r="1608" spans="1:39" x14ac:dyDescent="0.25">
      <c r="AA1608" s="237"/>
      <c r="AB1608" s="237"/>
      <c r="AC1608" s="237"/>
      <c r="AD1608" s="237"/>
      <c r="AE1608" s="237"/>
      <c r="AF1608" s="237"/>
      <c r="AG1608" s="237"/>
      <c r="AH1608" s="237"/>
      <c r="AJ1608" s="238"/>
    </row>
    <row r="1609" spans="1:39" x14ac:dyDescent="0.25">
      <c r="AA1609" s="237"/>
      <c r="AB1609" s="237"/>
      <c r="AC1609" s="237"/>
      <c r="AD1609" s="237"/>
      <c r="AE1609" s="237"/>
      <c r="AF1609" s="237"/>
      <c r="AG1609" s="237"/>
      <c r="AH1609" s="237"/>
      <c r="AJ1609" s="238"/>
    </row>
    <row r="1610" spans="1:39" x14ac:dyDescent="0.25">
      <c r="AA1610" s="237"/>
      <c r="AB1610" s="237"/>
      <c r="AC1610" s="237"/>
      <c r="AD1610" s="237"/>
      <c r="AE1610" s="237"/>
      <c r="AF1610" s="237"/>
      <c r="AG1610" s="237"/>
      <c r="AH1610" s="237"/>
      <c r="AJ1610" s="238"/>
    </row>
    <row r="1611" spans="1:39" ht="12.75" x14ac:dyDescent="0.2">
      <c r="AL1611" s="226"/>
      <c r="AM1611" s="226"/>
    </row>
    <row r="1612" spans="1:39" ht="12.75" x14ac:dyDescent="0.2">
      <c r="A1612" s="236"/>
      <c r="B1612" s="236"/>
      <c r="C1612" s="236"/>
      <c r="D1612" s="236"/>
      <c r="E1612" s="237"/>
      <c r="G1612" s="237"/>
      <c r="H1612" s="237"/>
      <c r="I1612" s="237"/>
      <c r="K1612" s="237"/>
      <c r="N1612" s="237"/>
      <c r="O1612" s="237"/>
      <c r="P1612" s="237"/>
      <c r="Q1612" s="237"/>
      <c r="AL1612" s="226"/>
      <c r="AM1612" s="226"/>
    </row>
    <row r="1613" spans="1:39" x14ac:dyDescent="0.25">
      <c r="AA1613" s="237"/>
      <c r="AB1613" s="237"/>
      <c r="AC1613" s="237"/>
      <c r="AD1613" s="237"/>
      <c r="AE1613" s="237"/>
      <c r="AF1613" s="237"/>
      <c r="AG1613" s="237"/>
      <c r="AH1613" s="237"/>
      <c r="AJ1613" s="238"/>
    </row>
    <row r="1614" spans="1:39" ht="12.75" x14ac:dyDescent="0.2">
      <c r="AL1614" s="226"/>
      <c r="AM1614" s="226"/>
    </row>
    <row r="1615" spans="1:39" ht="12.75" x14ac:dyDescent="0.2">
      <c r="A1615" s="236"/>
      <c r="B1615" s="236"/>
      <c r="C1615" s="236"/>
      <c r="D1615" s="236"/>
      <c r="E1615" s="237"/>
      <c r="G1615" s="237"/>
      <c r="H1615" s="237"/>
      <c r="I1615" s="237"/>
      <c r="K1615" s="237"/>
      <c r="N1615" s="237"/>
      <c r="O1615" s="237"/>
      <c r="P1615" s="237"/>
      <c r="Q1615" s="237"/>
      <c r="AL1615" s="226"/>
      <c r="AM1615" s="226"/>
    </row>
    <row r="1616" spans="1:39" x14ac:dyDescent="0.25">
      <c r="AA1616" s="237"/>
      <c r="AB1616" s="237"/>
      <c r="AC1616" s="237"/>
      <c r="AD1616" s="237"/>
      <c r="AE1616" s="237"/>
      <c r="AF1616" s="237"/>
      <c r="AG1616" s="237"/>
      <c r="AH1616" s="237"/>
      <c r="AJ1616" s="238"/>
    </row>
    <row r="1617" spans="1:39" ht="12.75" x14ac:dyDescent="0.2">
      <c r="AL1617" s="226"/>
      <c r="AM1617" s="226"/>
    </row>
    <row r="1618" spans="1:39" ht="12.75" x14ac:dyDescent="0.2">
      <c r="A1618" s="236"/>
      <c r="B1618" s="236"/>
      <c r="C1618" s="236"/>
      <c r="D1618" s="236"/>
      <c r="E1618" s="237"/>
      <c r="G1618" s="237"/>
      <c r="H1618" s="237"/>
      <c r="I1618" s="237"/>
      <c r="K1618" s="237"/>
      <c r="N1618" s="237"/>
      <c r="O1618" s="237"/>
      <c r="P1618" s="237"/>
      <c r="Q1618" s="237"/>
      <c r="AL1618" s="226"/>
      <c r="AM1618" s="226"/>
    </row>
    <row r="1619" spans="1:39" x14ac:dyDescent="0.25">
      <c r="AA1619" s="237"/>
      <c r="AB1619" s="237"/>
      <c r="AC1619" s="237"/>
      <c r="AD1619" s="237"/>
      <c r="AE1619" s="237"/>
      <c r="AF1619" s="237"/>
      <c r="AG1619" s="237"/>
      <c r="AH1619" s="237"/>
      <c r="AJ1619" s="238"/>
    </row>
    <row r="1620" spans="1:39" x14ac:dyDescent="0.25">
      <c r="AA1620" s="237"/>
      <c r="AB1620" s="237"/>
      <c r="AC1620" s="237"/>
      <c r="AD1620" s="237"/>
      <c r="AE1620" s="237"/>
      <c r="AF1620" s="237"/>
      <c r="AG1620" s="237"/>
      <c r="AH1620" s="237"/>
      <c r="AJ1620" s="238"/>
    </row>
    <row r="1621" spans="1:39" x14ac:dyDescent="0.25">
      <c r="AA1621" s="237"/>
      <c r="AB1621" s="237"/>
      <c r="AC1621" s="237"/>
      <c r="AD1621" s="237"/>
      <c r="AE1621" s="237"/>
      <c r="AF1621" s="237"/>
      <c r="AG1621" s="237"/>
      <c r="AH1621" s="237"/>
      <c r="AJ1621" s="238"/>
    </row>
    <row r="1622" spans="1:39" x14ac:dyDescent="0.25">
      <c r="AA1622" s="237"/>
      <c r="AB1622" s="237"/>
      <c r="AC1622" s="237"/>
      <c r="AD1622" s="237"/>
      <c r="AE1622" s="237"/>
      <c r="AF1622" s="237"/>
      <c r="AG1622" s="237"/>
      <c r="AH1622" s="237"/>
      <c r="AJ1622" s="238"/>
    </row>
    <row r="1623" spans="1:39" x14ac:dyDescent="0.25">
      <c r="AA1623" s="237"/>
      <c r="AB1623" s="237"/>
      <c r="AC1623" s="237"/>
      <c r="AD1623" s="237"/>
      <c r="AE1623" s="237"/>
      <c r="AF1623" s="237"/>
      <c r="AG1623" s="237"/>
      <c r="AH1623" s="237"/>
      <c r="AJ1623" s="238"/>
    </row>
    <row r="1624" spans="1:39" x14ac:dyDescent="0.25">
      <c r="AA1624" s="237"/>
      <c r="AB1624" s="237"/>
      <c r="AC1624" s="237"/>
      <c r="AD1624" s="237"/>
      <c r="AE1624" s="237"/>
      <c r="AF1624" s="237"/>
      <c r="AG1624" s="237"/>
      <c r="AH1624" s="237"/>
      <c r="AJ1624" s="238"/>
    </row>
    <row r="1625" spans="1:39" ht="12.75" x14ac:dyDescent="0.2">
      <c r="AL1625" s="226"/>
      <c r="AM1625" s="226"/>
    </row>
    <row r="1626" spans="1:39" ht="12.75" x14ac:dyDescent="0.2">
      <c r="A1626" s="236"/>
      <c r="B1626" s="236"/>
      <c r="C1626" s="236"/>
      <c r="D1626" s="236"/>
      <c r="E1626" s="237"/>
      <c r="G1626" s="237"/>
      <c r="H1626" s="237"/>
      <c r="I1626" s="237"/>
      <c r="K1626" s="237"/>
      <c r="N1626" s="237"/>
      <c r="O1626" s="237"/>
      <c r="P1626" s="237"/>
      <c r="Q1626" s="237"/>
      <c r="AL1626" s="226"/>
      <c r="AM1626" s="226"/>
    </row>
    <row r="1627" spans="1:39" x14ac:dyDescent="0.25">
      <c r="AA1627" s="237"/>
      <c r="AB1627" s="237"/>
      <c r="AC1627" s="237"/>
      <c r="AD1627" s="237"/>
      <c r="AE1627" s="237"/>
      <c r="AF1627" s="237"/>
      <c r="AG1627" s="237"/>
      <c r="AH1627" s="237"/>
      <c r="AJ1627" s="238"/>
    </row>
    <row r="1628" spans="1:39" ht="12.75" x14ac:dyDescent="0.2">
      <c r="AL1628" s="226"/>
      <c r="AM1628" s="226"/>
    </row>
    <row r="1629" spans="1:39" ht="12.75" x14ac:dyDescent="0.2">
      <c r="A1629" s="236"/>
      <c r="B1629" s="236"/>
      <c r="C1629" s="236"/>
      <c r="D1629" s="236"/>
      <c r="E1629" s="237"/>
      <c r="G1629" s="237"/>
      <c r="H1629" s="237"/>
      <c r="I1629" s="237"/>
      <c r="K1629" s="237"/>
      <c r="N1629" s="237"/>
      <c r="O1629" s="237"/>
      <c r="P1629" s="237"/>
      <c r="Q1629" s="237"/>
      <c r="AL1629" s="226"/>
      <c r="AM1629" s="226"/>
    </row>
    <row r="1630" spans="1:39" x14ac:dyDescent="0.25">
      <c r="AA1630" s="237"/>
      <c r="AB1630" s="237"/>
      <c r="AC1630" s="237"/>
      <c r="AD1630" s="237"/>
      <c r="AE1630" s="237"/>
      <c r="AF1630" s="237"/>
      <c r="AG1630" s="237"/>
      <c r="AH1630" s="237"/>
      <c r="AJ1630" s="238"/>
    </row>
    <row r="1631" spans="1:39" x14ac:dyDescent="0.25">
      <c r="AA1631" s="237"/>
      <c r="AB1631" s="237"/>
      <c r="AC1631" s="237"/>
      <c r="AD1631" s="237"/>
      <c r="AE1631" s="237"/>
      <c r="AF1631" s="237"/>
      <c r="AG1631" s="237"/>
      <c r="AH1631" s="237"/>
      <c r="AJ1631" s="238"/>
    </row>
    <row r="1632" spans="1:39" ht="12.75" x14ac:dyDescent="0.2">
      <c r="AL1632" s="226"/>
      <c r="AM1632" s="226"/>
    </row>
    <row r="1633" spans="1:39" ht="12.75" x14ac:dyDescent="0.2">
      <c r="A1633" s="236"/>
      <c r="B1633" s="236"/>
      <c r="C1633" s="236"/>
      <c r="D1633" s="236"/>
      <c r="E1633" s="237"/>
      <c r="G1633" s="237"/>
      <c r="H1633" s="237"/>
      <c r="I1633" s="237"/>
      <c r="K1633" s="237"/>
      <c r="N1633" s="237"/>
      <c r="O1633" s="237"/>
      <c r="P1633" s="237"/>
      <c r="Q1633" s="237"/>
      <c r="AL1633" s="226"/>
      <c r="AM1633" s="226"/>
    </row>
    <row r="1634" spans="1:39" x14ac:dyDescent="0.25">
      <c r="AA1634" s="237"/>
      <c r="AB1634" s="237"/>
      <c r="AC1634" s="237"/>
      <c r="AD1634" s="237"/>
      <c r="AE1634" s="237"/>
      <c r="AF1634" s="237"/>
      <c r="AG1634" s="237"/>
      <c r="AH1634" s="237"/>
      <c r="AJ1634" s="238"/>
    </row>
    <row r="1635" spans="1:39" x14ac:dyDescent="0.25">
      <c r="AA1635" s="237"/>
      <c r="AB1635" s="237"/>
      <c r="AC1635" s="237"/>
      <c r="AD1635" s="237"/>
      <c r="AE1635" s="237"/>
      <c r="AF1635" s="237"/>
      <c r="AG1635" s="237"/>
      <c r="AH1635" s="237"/>
      <c r="AJ1635" s="238"/>
    </row>
    <row r="1636" spans="1:39" x14ac:dyDescent="0.25">
      <c r="AA1636" s="237"/>
      <c r="AB1636" s="237"/>
      <c r="AC1636" s="237"/>
      <c r="AD1636" s="237"/>
      <c r="AE1636" s="237"/>
      <c r="AF1636" s="237"/>
      <c r="AG1636" s="237"/>
      <c r="AH1636" s="237"/>
      <c r="AJ1636" s="238"/>
    </row>
    <row r="1637" spans="1:39" ht="12.75" x14ac:dyDescent="0.2">
      <c r="AL1637" s="226"/>
      <c r="AM1637" s="226"/>
    </row>
    <row r="1638" spans="1:39" ht="12.75" x14ac:dyDescent="0.2">
      <c r="A1638" s="236"/>
      <c r="B1638" s="236"/>
      <c r="C1638" s="236"/>
      <c r="D1638" s="236"/>
      <c r="E1638" s="237"/>
      <c r="G1638" s="237"/>
      <c r="H1638" s="237"/>
      <c r="I1638" s="237"/>
      <c r="K1638" s="237"/>
      <c r="N1638" s="237"/>
      <c r="O1638" s="237"/>
      <c r="P1638" s="237"/>
      <c r="Q1638" s="237"/>
      <c r="AL1638" s="226"/>
      <c r="AM1638" s="226"/>
    </row>
    <row r="1639" spans="1:39" x14ac:dyDescent="0.25">
      <c r="AA1639" s="237"/>
      <c r="AB1639" s="237"/>
      <c r="AC1639" s="237"/>
      <c r="AD1639" s="237"/>
      <c r="AE1639" s="237"/>
      <c r="AF1639" s="237"/>
      <c r="AG1639" s="237"/>
      <c r="AH1639" s="237"/>
      <c r="AJ1639" s="238"/>
    </row>
    <row r="1640" spans="1:39" x14ac:dyDescent="0.25">
      <c r="AA1640" s="237"/>
      <c r="AB1640" s="237"/>
      <c r="AC1640" s="237"/>
      <c r="AD1640" s="237"/>
      <c r="AE1640" s="237"/>
      <c r="AF1640" s="237"/>
      <c r="AG1640" s="237"/>
      <c r="AH1640" s="237"/>
      <c r="AJ1640" s="238"/>
    </row>
    <row r="1641" spans="1:39" ht="12.75" x14ac:dyDescent="0.2">
      <c r="AL1641" s="226"/>
      <c r="AM1641" s="226"/>
    </row>
    <row r="1642" spans="1:39" ht="12.75" x14ac:dyDescent="0.2">
      <c r="A1642" s="236"/>
      <c r="B1642" s="236"/>
      <c r="C1642" s="236"/>
      <c r="D1642" s="236"/>
      <c r="E1642" s="237"/>
      <c r="G1642" s="237"/>
      <c r="H1642" s="237"/>
      <c r="I1642" s="237"/>
      <c r="K1642" s="237"/>
      <c r="N1642" s="237"/>
      <c r="O1642" s="237"/>
      <c r="P1642" s="237"/>
      <c r="Q1642" s="237"/>
      <c r="AL1642" s="226"/>
      <c r="AM1642" s="226"/>
    </row>
    <row r="1643" spans="1:39" x14ac:dyDescent="0.25">
      <c r="AA1643" s="237"/>
      <c r="AB1643" s="237"/>
      <c r="AC1643" s="237"/>
      <c r="AD1643" s="237"/>
      <c r="AE1643" s="237"/>
      <c r="AF1643" s="237"/>
      <c r="AG1643" s="237"/>
      <c r="AH1643" s="237"/>
      <c r="AJ1643" s="238"/>
    </row>
    <row r="1644" spans="1:39" x14ac:dyDescent="0.25">
      <c r="AA1644" s="237"/>
      <c r="AB1644" s="237"/>
      <c r="AC1644" s="237"/>
      <c r="AD1644" s="237"/>
      <c r="AE1644" s="237"/>
      <c r="AF1644" s="237"/>
      <c r="AG1644" s="237"/>
      <c r="AH1644" s="237"/>
      <c r="AJ1644" s="238"/>
    </row>
    <row r="1645" spans="1:39" x14ac:dyDescent="0.25">
      <c r="AA1645" s="237"/>
      <c r="AB1645" s="237"/>
      <c r="AC1645" s="237"/>
      <c r="AD1645" s="237"/>
      <c r="AE1645" s="237"/>
      <c r="AF1645" s="237"/>
      <c r="AG1645" s="237"/>
      <c r="AH1645" s="237"/>
      <c r="AJ1645" s="238"/>
    </row>
    <row r="1646" spans="1:39" ht="12.75" x14ac:dyDescent="0.2">
      <c r="AL1646" s="226"/>
      <c r="AM1646" s="226"/>
    </row>
    <row r="1647" spans="1:39" ht="12.75" x14ac:dyDescent="0.2">
      <c r="A1647" s="236"/>
      <c r="B1647" s="236"/>
      <c r="C1647" s="236"/>
      <c r="D1647" s="236"/>
      <c r="E1647" s="237"/>
      <c r="G1647" s="237"/>
      <c r="H1647" s="237"/>
      <c r="I1647" s="237"/>
      <c r="K1647" s="237"/>
      <c r="N1647" s="237"/>
      <c r="O1647" s="237"/>
      <c r="P1647" s="237"/>
      <c r="Q1647" s="237"/>
      <c r="AL1647" s="226"/>
      <c r="AM1647" s="226"/>
    </row>
    <row r="1648" spans="1:39" x14ac:dyDescent="0.25">
      <c r="AA1648" s="237"/>
      <c r="AB1648" s="237"/>
      <c r="AC1648" s="237"/>
      <c r="AD1648" s="237"/>
      <c r="AE1648" s="237"/>
      <c r="AF1648" s="237"/>
      <c r="AG1648" s="237"/>
      <c r="AH1648" s="237"/>
      <c r="AJ1648" s="238"/>
    </row>
    <row r="1649" spans="1:39" ht="12.75" x14ac:dyDescent="0.2">
      <c r="AL1649" s="226"/>
      <c r="AM1649" s="226"/>
    </row>
    <row r="1650" spans="1:39" ht="12.75" x14ac:dyDescent="0.2">
      <c r="A1650" s="236"/>
      <c r="B1650" s="236"/>
      <c r="C1650" s="236"/>
      <c r="D1650" s="236"/>
      <c r="E1650" s="237"/>
      <c r="G1650" s="237"/>
      <c r="H1650" s="237"/>
      <c r="I1650" s="237"/>
      <c r="K1650" s="237"/>
      <c r="N1650" s="237"/>
      <c r="O1650" s="237"/>
      <c r="P1650" s="237"/>
      <c r="Q1650" s="237"/>
      <c r="AL1650" s="226"/>
      <c r="AM1650" s="226"/>
    </row>
    <row r="1651" spans="1:39" x14ac:dyDescent="0.25">
      <c r="AA1651" s="237"/>
      <c r="AB1651" s="237"/>
      <c r="AC1651" s="237"/>
      <c r="AD1651" s="237"/>
      <c r="AE1651" s="237"/>
      <c r="AF1651" s="237"/>
      <c r="AG1651" s="237"/>
      <c r="AH1651" s="237"/>
      <c r="AJ1651" s="238"/>
    </row>
    <row r="1652" spans="1:39" ht="12.75" x14ac:dyDescent="0.2">
      <c r="AL1652" s="226"/>
      <c r="AM1652" s="226"/>
    </row>
    <row r="1653" spans="1:39" ht="12.75" x14ac:dyDescent="0.2">
      <c r="A1653" s="236"/>
      <c r="B1653" s="236"/>
      <c r="C1653" s="236"/>
      <c r="D1653" s="236"/>
      <c r="E1653" s="237"/>
      <c r="G1653" s="237"/>
      <c r="H1653" s="237"/>
      <c r="I1653" s="237"/>
      <c r="K1653" s="237"/>
      <c r="N1653" s="237"/>
      <c r="O1653" s="237"/>
      <c r="P1653" s="237"/>
      <c r="Q1653" s="237"/>
      <c r="AL1653" s="226"/>
      <c r="AM1653" s="226"/>
    </row>
    <row r="1654" spans="1:39" x14ac:dyDescent="0.25">
      <c r="AA1654" s="237"/>
      <c r="AB1654" s="237"/>
      <c r="AC1654" s="237"/>
      <c r="AD1654" s="237"/>
      <c r="AE1654" s="237"/>
      <c r="AF1654" s="237"/>
      <c r="AG1654" s="237"/>
      <c r="AH1654" s="237"/>
      <c r="AJ1654" s="238"/>
    </row>
    <row r="1655" spans="1:39" ht="12.75" x14ac:dyDescent="0.2">
      <c r="AL1655" s="226"/>
      <c r="AM1655" s="226"/>
    </row>
    <row r="1656" spans="1:39" ht="12.75" x14ac:dyDescent="0.2">
      <c r="A1656" s="236"/>
      <c r="B1656" s="236"/>
      <c r="C1656" s="236"/>
      <c r="D1656" s="236"/>
      <c r="E1656" s="237"/>
      <c r="G1656" s="237"/>
      <c r="H1656" s="237"/>
      <c r="I1656" s="237"/>
      <c r="K1656" s="237"/>
      <c r="N1656" s="237"/>
      <c r="O1656" s="237"/>
      <c r="P1656" s="237"/>
      <c r="Q1656" s="237"/>
      <c r="AL1656" s="226"/>
      <c r="AM1656" s="226"/>
    </row>
    <row r="1657" spans="1:39" x14ac:dyDescent="0.25">
      <c r="AA1657" s="237"/>
      <c r="AB1657" s="237"/>
      <c r="AC1657" s="237"/>
      <c r="AD1657" s="237"/>
      <c r="AE1657" s="237"/>
      <c r="AF1657" s="237"/>
      <c r="AG1657" s="237"/>
      <c r="AH1657" s="237"/>
      <c r="AJ1657" s="238"/>
    </row>
    <row r="1658" spans="1:39" x14ac:dyDescent="0.25">
      <c r="AA1658" s="237"/>
      <c r="AB1658" s="237"/>
      <c r="AC1658" s="237"/>
      <c r="AD1658" s="237"/>
      <c r="AE1658" s="237"/>
      <c r="AF1658" s="237"/>
      <c r="AG1658" s="237"/>
      <c r="AH1658" s="237"/>
      <c r="AJ1658" s="238"/>
    </row>
    <row r="1659" spans="1:39" x14ac:dyDescent="0.25">
      <c r="AA1659" s="237"/>
      <c r="AB1659" s="237"/>
      <c r="AC1659" s="237"/>
      <c r="AD1659" s="237"/>
      <c r="AE1659" s="237"/>
      <c r="AF1659" s="237"/>
      <c r="AG1659" s="237"/>
      <c r="AH1659" s="237"/>
      <c r="AJ1659" s="238"/>
    </row>
    <row r="1660" spans="1:39" x14ac:dyDescent="0.25">
      <c r="AA1660" s="237"/>
      <c r="AB1660" s="237"/>
      <c r="AC1660" s="237"/>
      <c r="AD1660" s="237"/>
      <c r="AE1660" s="237"/>
      <c r="AF1660" s="237"/>
      <c r="AG1660" s="237"/>
      <c r="AH1660" s="237"/>
      <c r="AJ1660" s="238"/>
    </row>
    <row r="1661" spans="1:39" x14ac:dyDescent="0.25">
      <c r="AA1661" s="237"/>
      <c r="AB1661" s="237"/>
      <c r="AC1661" s="237"/>
      <c r="AD1661" s="237"/>
      <c r="AE1661" s="237"/>
      <c r="AF1661" s="237"/>
      <c r="AG1661" s="237"/>
      <c r="AH1661" s="237"/>
      <c r="AJ1661" s="238"/>
    </row>
    <row r="1662" spans="1:39" x14ac:dyDescent="0.25">
      <c r="AA1662" s="237"/>
      <c r="AB1662" s="237"/>
      <c r="AC1662" s="237"/>
      <c r="AD1662" s="237"/>
      <c r="AE1662" s="237"/>
      <c r="AF1662" s="237"/>
      <c r="AG1662" s="237"/>
      <c r="AH1662" s="237"/>
      <c r="AJ1662" s="238"/>
    </row>
    <row r="1663" spans="1:39" ht="12.75" x14ac:dyDescent="0.2">
      <c r="AL1663" s="226"/>
      <c r="AM1663" s="226"/>
    </row>
    <row r="1664" spans="1:39" ht="12.75" x14ac:dyDescent="0.2">
      <c r="A1664" s="236"/>
      <c r="B1664" s="236"/>
      <c r="C1664" s="236"/>
      <c r="D1664" s="236"/>
      <c r="E1664" s="237"/>
      <c r="G1664" s="237"/>
      <c r="H1664" s="237"/>
      <c r="I1664" s="237"/>
      <c r="K1664" s="237"/>
      <c r="N1664" s="237"/>
      <c r="O1664" s="237"/>
      <c r="P1664" s="237"/>
      <c r="Q1664" s="237"/>
      <c r="AL1664" s="226"/>
      <c r="AM1664" s="226"/>
    </row>
    <row r="1665" spans="1:39" x14ac:dyDescent="0.25">
      <c r="AA1665" s="237"/>
      <c r="AB1665" s="237"/>
      <c r="AC1665" s="237"/>
      <c r="AD1665" s="237"/>
      <c r="AE1665" s="237"/>
      <c r="AF1665" s="237"/>
      <c r="AG1665" s="237"/>
      <c r="AH1665" s="237"/>
      <c r="AJ1665" s="238"/>
    </row>
    <row r="1666" spans="1:39" x14ac:dyDescent="0.25">
      <c r="AA1666" s="237"/>
      <c r="AB1666" s="237"/>
      <c r="AC1666" s="237"/>
      <c r="AD1666" s="237"/>
      <c r="AE1666" s="237"/>
      <c r="AF1666" s="237"/>
      <c r="AG1666" s="237"/>
      <c r="AH1666" s="237"/>
      <c r="AJ1666" s="238"/>
    </row>
    <row r="1667" spans="1:39" x14ac:dyDescent="0.25">
      <c r="AA1667" s="237"/>
      <c r="AB1667" s="237"/>
      <c r="AC1667" s="237"/>
      <c r="AD1667" s="237"/>
      <c r="AE1667" s="237"/>
      <c r="AF1667" s="237"/>
      <c r="AG1667" s="237"/>
      <c r="AH1667" s="237"/>
      <c r="AJ1667" s="238"/>
    </row>
    <row r="1668" spans="1:39" ht="12.75" x14ac:dyDescent="0.2">
      <c r="AL1668" s="226"/>
      <c r="AM1668" s="226"/>
    </row>
    <row r="1669" spans="1:39" ht="12.75" x14ac:dyDescent="0.2">
      <c r="A1669" s="236"/>
      <c r="B1669" s="236"/>
      <c r="C1669" s="236"/>
      <c r="D1669" s="236"/>
      <c r="E1669" s="237"/>
      <c r="G1669" s="237"/>
      <c r="H1669" s="237"/>
      <c r="I1669" s="237"/>
      <c r="K1669" s="237"/>
      <c r="N1669" s="237"/>
      <c r="O1669" s="237"/>
      <c r="P1669" s="237"/>
      <c r="Q1669" s="237"/>
      <c r="AL1669" s="226"/>
      <c r="AM1669" s="226"/>
    </row>
    <row r="1670" spans="1:39" x14ac:dyDescent="0.25">
      <c r="AA1670" s="237"/>
      <c r="AB1670" s="237"/>
      <c r="AC1670" s="237"/>
      <c r="AD1670" s="237"/>
      <c r="AE1670" s="237"/>
      <c r="AF1670" s="237"/>
      <c r="AG1670" s="237"/>
      <c r="AH1670" s="237"/>
      <c r="AJ1670" s="238"/>
    </row>
    <row r="1671" spans="1:39" x14ac:dyDescent="0.25">
      <c r="AA1671" s="237"/>
      <c r="AB1671" s="237"/>
      <c r="AC1671" s="237"/>
      <c r="AD1671" s="237"/>
      <c r="AE1671" s="237"/>
      <c r="AF1671" s="237"/>
      <c r="AG1671" s="237"/>
      <c r="AH1671" s="237"/>
      <c r="AJ1671" s="238"/>
    </row>
    <row r="1672" spans="1:39" x14ac:dyDescent="0.25">
      <c r="AA1672" s="237"/>
      <c r="AB1672" s="237"/>
      <c r="AC1672" s="237"/>
      <c r="AD1672" s="237"/>
      <c r="AE1672" s="237"/>
      <c r="AF1672" s="237"/>
      <c r="AG1672" s="237"/>
      <c r="AH1672" s="237"/>
      <c r="AJ1672" s="238"/>
    </row>
    <row r="1673" spans="1:39" x14ac:dyDescent="0.25">
      <c r="AA1673" s="237"/>
      <c r="AB1673" s="237"/>
      <c r="AC1673" s="237"/>
      <c r="AD1673" s="237"/>
      <c r="AE1673" s="237"/>
      <c r="AF1673" s="237"/>
      <c r="AG1673" s="237"/>
      <c r="AH1673" s="237"/>
      <c r="AJ1673" s="238"/>
    </row>
    <row r="1674" spans="1:39" x14ac:dyDescent="0.25">
      <c r="AA1674" s="237"/>
      <c r="AB1674" s="237"/>
      <c r="AC1674" s="237"/>
      <c r="AD1674" s="237"/>
      <c r="AE1674" s="237"/>
      <c r="AF1674" s="237"/>
      <c r="AG1674" s="237"/>
      <c r="AH1674" s="237"/>
      <c r="AJ1674" s="238"/>
    </row>
    <row r="1675" spans="1:39" x14ac:dyDescent="0.25">
      <c r="AA1675" s="237"/>
      <c r="AB1675" s="237"/>
      <c r="AC1675" s="237"/>
      <c r="AD1675" s="237"/>
      <c r="AE1675" s="237"/>
      <c r="AF1675" s="237"/>
      <c r="AG1675" s="237"/>
      <c r="AH1675" s="237"/>
      <c r="AJ1675" s="238"/>
    </row>
    <row r="1676" spans="1:39" x14ac:dyDescent="0.25">
      <c r="AA1676" s="237"/>
      <c r="AB1676" s="237"/>
      <c r="AC1676" s="237"/>
      <c r="AD1676" s="237"/>
      <c r="AE1676" s="237"/>
      <c r="AF1676" s="237"/>
      <c r="AG1676" s="237"/>
      <c r="AH1676" s="237"/>
      <c r="AJ1676" s="238"/>
    </row>
    <row r="1677" spans="1:39" x14ac:dyDescent="0.25">
      <c r="AA1677" s="237"/>
      <c r="AB1677" s="237"/>
      <c r="AC1677" s="237"/>
      <c r="AD1677" s="237"/>
      <c r="AE1677" s="237"/>
      <c r="AF1677" s="237"/>
      <c r="AG1677" s="237"/>
      <c r="AH1677" s="237"/>
      <c r="AJ1677" s="238"/>
    </row>
    <row r="1678" spans="1:39" ht="12.75" x14ac:dyDescent="0.2">
      <c r="AL1678" s="226"/>
      <c r="AM1678" s="226"/>
    </row>
    <row r="1679" spans="1:39" ht="12.75" x14ac:dyDescent="0.2">
      <c r="A1679" s="236"/>
      <c r="B1679" s="236"/>
      <c r="C1679" s="236"/>
      <c r="D1679" s="236"/>
      <c r="E1679" s="237"/>
      <c r="G1679" s="237"/>
      <c r="H1679" s="237"/>
      <c r="I1679" s="237"/>
      <c r="K1679" s="237"/>
      <c r="N1679" s="237"/>
      <c r="O1679" s="237"/>
      <c r="P1679" s="237"/>
      <c r="Q1679" s="237"/>
      <c r="AL1679" s="226"/>
      <c r="AM1679" s="226"/>
    </row>
    <row r="1680" spans="1:39" x14ac:dyDescent="0.25">
      <c r="AA1680" s="237"/>
      <c r="AB1680" s="237"/>
      <c r="AC1680" s="237"/>
      <c r="AD1680" s="237"/>
      <c r="AE1680" s="237"/>
      <c r="AF1680" s="237"/>
      <c r="AG1680" s="237"/>
      <c r="AH1680" s="237"/>
      <c r="AJ1680" s="238"/>
    </row>
    <row r="1681" spans="1:39" ht="12.75" x14ac:dyDescent="0.2">
      <c r="AL1681" s="226"/>
      <c r="AM1681" s="226"/>
    </row>
    <row r="1682" spans="1:39" ht="12.75" x14ac:dyDescent="0.2">
      <c r="A1682" s="236"/>
      <c r="B1682" s="236"/>
      <c r="C1682" s="236"/>
      <c r="D1682" s="236"/>
      <c r="E1682" s="237"/>
      <c r="G1682" s="237"/>
      <c r="H1682" s="237"/>
      <c r="I1682" s="237"/>
      <c r="K1682" s="237"/>
      <c r="N1682" s="237"/>
      <c r="O1682" s="237"/>
      <c r="P1682" s="237"/>
      <c r="Q1682" s="237"/>
      <c r="AL1682" s="226"/>
      <c r="AM1682" s="226"/>
    </row>
    <row r="1683" spans="1:39" x14ac:dyDescent="0.25">
      <c r="AA1683" s="237"/>
      <c r="AB1683" s="237"/>
      <c r="AC1683" s="237"/>
      <c r="AD1683" s="237"/>
      <c r="AE1683" s="237"/>
      <c r="AF1683" s="237"/>
      <c r="AG1683" s="237"/>
      <c r="AH1683" s="237"/>
      <c r="AJ1683" s="238"/>
    </row>
    <row r="1684" spans="1:39" x14ac:dyDescent="0.25">
      <c r="AA1684" s="237"/>
      <c r="AB1684" s="237"/>
      <c r="AC1684" s="237"/>
      <c r="AD1684" s="237"/>
      <c r="AE1684" s="237"/>
      <c r="AF1684" s="237"/>
      <c r="AG1684" s="237"/>
      <c r="AH1684" s="237"/>
      <c r="AJ1684" s="238"/>
    </row>
    <row r="1685" spans="1:39" x14ac:dyDescent="0.25">
      <c r="AA1685" s="237"/>
      <c r="AB1685" s="237"/>
      <c r="AC1685" s="237"/>
      <c r="AD1685" s="237"/>
      <c r="AE1685" s="237"/>
      <c r="AF1685" s="237"/>
      <c r="AG1685" s="237"/>
      <c r="AH1685" s="237"/>
      <c r="AJ1685" s="238"/>
    </row>
    <row r="1686" spans="1:39" x14ac:dyDescent="0.25">
      <c r="AA1686" s="237"/>
      <c r="AB1686" s="237"/>
      <c r="AC1686" s="237"/>
      <c r="AD1686" s="237"/>
      <c r="AE1686" s="237"/>
      <c r="AF1686" s="237"/>
      <c r="AG1686" s="237"/>
      <c r="AH1686" s="237"/>
      <c r="AJ1686" s="238"/>
    </row>
    <row r="1687" spans="1:39" ht="12.75" x14ac:dyDescent="0.2">
      <c r="AL1687" s="226"/>
      <c r="AM1687" s="226"/>
    </row>
    <row r="1688" spans="1:39" ht="12.75" x14ac:dyDescent="0.2">
      <c r="A1688" s="236"/>
      <c r="B1688" s="236"/>
      <c r="C1688" s="236"/>
      <c r="D1688" s="236"/>
      <c r="E1688" s="237"/>
      <c r="G1688" s="237"/>
      <c r="H1688" s="237"/>
      <c r="I1688" s="237"/>
      <c r="K1688" s="237"/>
      <c r="N1688" s="237"/>
      <c r="O1688" s="237"/>
      <c r="P1688" s="237"/>
      <c r="Q1688" s="237"/>
      <c r="AL1688" s="226"/>
      <c r="AM1688" s="226"/>
    </row>
    <row r="1689" spans="1:39" x14ac:dyDescent="0.25">
      <c r="AA1689" s="237"/>
      <c r="AB1689" s="237"/>
      <c r="AC1689" s="237"/>
      <c r="AD1689" s="237"/>
      <c r="AE1689" s="237"/>
      <c r="AF1689" s="237"/>
      <c r="AG1689" s="237"/>
      <c r="AH1689" s="237"/>
      <c r="AJ1689" s="238"/>
    </row>
    <row r="1690" spans="1:39" x14ac:dyDescent="0.25">
      <c r="AA1690" s="237"/>
      <c r="AB1690" s="237"/>
      <c r="AC1690" s="237"/>
      <c r="AD1690" s="237"/>
      <c r="AE1690" s="237"/>
      <c r="AF1690" s="237"/>
      <c r="AG1690" s="237"/>
      <c r="AH1690" s="237"/>
      <c r="AJ1690" s="238"/>
    </row>
    <row r="1691" spans="1:39" ht="12.75" x14ac:dyDescent="0.2">
      <c r="AL1691" s="226"/>
      <c r="AM1691" s="226"/>
    </row>
    <row r="1692" spans="1:39" ht="12.75" x14ac:dyDescent="0.2">
      <c r="A1692" s="236"/>
      <c r="B1692" s="236"/>
      <c r="C1692" s="236"/>
      <c r="D1692" s="236"/>
      <c r="E1692" s="237"/>
      <c r="G1692" s="237"/>
      <c r="H1692" s="237"/>
      <c r="I1692" s="237"/>
      <c r="K1692" s="237"/>
      <c r="N1692" s="237"/>
      <c r="O1692" s="237"/>
      <c r="P1692" s="237"/>
      <c r="Q1692" s="237"/>
      <c r="AL1692" s="226"/>
      <c r="AM1692" s="226"/>
    </row>
    <row r="1693" spans="1:39" x14ac:dyDescent="0.25">
      <c r="AA1693" s="237"/>
      <c r="AB1693" s="237"/>
      <c r="AC1693" s="237"/>
      <c r="AD1693" s="237"/>
      <c r="AE1693" s="237"/>
      <c r="AF1693" s="237"/>
      <c r="AG1693" s="237"/>
      <c r="AH1693" s="237"/>
      <c r="AJ1693" s="238"/>
    </row>
    <row r="1694" spans="1:39" ht="12.75" x14ac:dyDescent="0.2">
      <c r="AL1694" s="226"/>
      <c r="AM1694" s="226"/>
    </row>
    <row r="1695" spans="1:39" ht="12.75" x14ac:dyDescent="0.2">
      <c r="A1695" s="236"/>
      <c r="B1695" s="236"/>
      <c r="C1695" s="236"/>
      <c r="D1695" s="236"/>
      <c r="E1695" s="237"/>
      <c r="G1695" s="237"/>
      <c r="H1695" s="237"/>
      <c r="I1695" s="237"/>
      <c r="K1695" s="237"/>
      <c r="N1695" s="237"/>
      <c r="O1695" s="237"/>
      <c r="P1695" s="237"/>
      <c r="Q1695" s="237"/>
      <c r="AL1695" s="226"/>
      <c r="AM1695" s="226"/>
    </row>
    <row r="1696" spans="1:39" x14ac:dyDescent="0.25">
      <c r="AA1696" s="237"/>
      <c r="AB1696" s="237"/>
      <c r="AC1696" s="237"/>
      <c r="AD1696" s="237"/>
      <c r="AE1696" s="237"/>
      <c r="AF1696" s="237"/>
      <c r="AG1696" s="237"/>
      <c r="AH1696" s="237"/>
      <c r="AJ1696" s="238"/>
    </row>
    <row r="1697" spans="1:39" x14ac:dyDescent="0.25">
      <c r="AA1697" s="237"/>
      <c r="AB1697" s="237"/>
      <c r="AC1697" s="237"/>
      <c r="AD1697" s="237"/>
      <c r="AE1697" s="237"/>
      <c r="AF1697" s="237"/>
      <c r="AG1697" s="237"/>
      <c r="AH1697" s="237"/>
      <c r="AJ1697" s="238"/>
    </row>
    <row r="1698" spans="1:39" x14ac:dyDescent="0.25">
      <c r="AA1698" s="237"/>
      <c r="AB1698" s="237"/>
      <c r="AC1698" s="237"/>
      <c r="AD1698" s="237"/>
      <c r="AE1698" s="237"/>
      <c r="AF1698" s="237"/>
      <c r="AG1698" s="237"/>
      <c r="AH1698" s="237"/>
      <c r="AJ1698" s="238"/>
    </row>
    <row r="1699" spans="1:39" ht="12.75" x14ac:dyDescent="0.2">
      <c r="AL1699" s="226"/>
      <c r="AM1699" s="226"/>
    </row>
    <row r="1700" spans="1:39" ht="12.75" x14ac:dyDescent="0.2">
      <c r="A1700" s="236"/>
      <c r="B1700" s="236"/>
      <c r="C1700" s="236"/>
      <c r="D1700" s="236"/>
      <c r="E1700" s="237"/>
      <c r="G1700" s="237"/>
      <c r="H1700" s="237"/>
      <c r="I1700" s="237"/>
      <c r="K1700" s="237"/>
      <c r="N1700" s="237"/>
      <c r="O1700" s="237"/>
      <c r="P1700" s="237"/>
      <c r="Q1700" s="237"/>
      <c r="AL1700" s="226"/>
      <c r="AM1700" s="226"/>
    </row>
    <row r="1701" spans="1:39" x14ac:dyDescent="0.25">
      <c r="AA1701" s="237"/>
      <c r="AB1701" s="237"/>
      <c r="AC1701" s="237"/>
      <c r="AD1701" s="237"/>
      <c r="AE1701" s="237"/>
      <c r="AF1701" s="237"/>
      <c r="AG1701" s="237"/>
      <c r="AH1701" s="237"/>
      <c r="AJ1701" s="238"/>
    </row>
    <row r="1702" spans="1:39" ht="12.75" x14ac:dyDescent="0.2">
      <c r="AL1702" s="226"/>
      <c r="AM1702" s="226"/>
    </row>
    <row r="1703" spans="1:39" ht="12.75" x14ac:dyDescent="0.2">
      <c r="A1703" s="236"/>
      <c r="B1703" s="236"/>
      <c r="C1703" s="236"/>
      <c r="D1703" s="236"/>
      <c r="E1703" s="237"/>
      <c r="G1703" s="237"/>
      <c r="H1703" s="237"/>
      <c r="I1703" s="237"/>
      <c r="K1703" s="237"/>
      <c r="N1703" s="237"/>
      <c r="O1703" s="237"/>
      <c r="P1703" s="237"/>
      <c r="Q1703" s="237"/>
      <c r="AL1703" s="226"/>
      <c r="AM1703" s="226"/>
    </row>
    <row r="1704" spans="1:39" x14ac:dyDescent="0.25">
      <c r="AA1704" s="237"/>
      <c r="AB1704" s="237"/>
      <c r="AC1704" s="237"/>
      <c r="AD1704" s="237"/>
      <c r="AE1704" s="237"/>
      <c r="AF1704" s="237"/>
      <c r="AG1704" s="237"/>
      <c r="AH1704" s="237"/>
      <c r="AJ1704" s="238"/>
    </row>
    <row r="1705" spans="1:39" x14ac:dyDescent="0.25">
      <c r="AA1705" s="237"/>
      <c r="AB1705" s="237"/>
      <c r="AC1705" s="237"/>
      <c r="AD1705" s="237"/>
      <c r="AE1705" s="237"/>
      <c r="AF1705" s="237"/>
      <c r="AG1705" s="237"/>
      <c r="AH1705" s="237"/>
      <c r="AJ1705" s="238"/>
    </row>
    <row r="1706" spans="1:39" x14ac:dyDescent="0.25">
      <c r="AA1706" s="237"/>
      <c r="AB1706" s="237"/>
      <c r="AC1706" s="237"/>
      <c r="AD1706" s="237"/>
      <c r="AE1706" s="237"/>
      <c r="AF1706" s="237"/>
      <c r="AG1706" s="237"/>
      <c r="AH1706" s="237"/>
      <c r="AJ1706" s="238"/>
    </row>
    <row r="1707" spans="1:39" ht="12.75" x14ac:dyDescent="0.2">
      <c r="AL1707" s="226"/>
      <c r="AM1707" s="226"/>
    </row>
    <row r="1708" spans="1:39" ht="12.75" x14ac:dyDescent="0.2">
      <c r="A1708" s="236"/>
      <c r="B1708" s="236"/>
      <c r="C1708" s="236"/>
      <c r="D1708" s="236"/>
      <c r="E1708" s="237"/>
      <c r="G1708" s="237"/>
      <c r="H1708" s="237"/>
      <c r="I1708" s="237"/>
      <c r="K1708" s="237"/>
      <c r="N1708" s="237"/>
      <c r="O1708" s="237"/>
      <c r="P1708" s="237"/>
      <c r="Q1708" s="237"/>
      <c r="AL1708" s="226"/>
      <c r="AM1708" s="226"/>
    </row>
    <row r="1709" spans="1:39" x14ac:dyDescent="0.25">
      <c r="AA1709" s="237"/>
      <c r="AB1709" s="237"/>
      <c r="AC1709" s="237"/>
      <c r="AD1709" s="237"/>
      <c r="AE1709" s="237"/>
      <c r="AF1709" s="237"/>
      <c r="AG1709" s="237"/>
      <c r="AH1709" s="237"/>
      <c r="AJ1709" s="238"/>
    </row>
    <row r="1710" spans="1:39" x14ac:dyDescent="0.25">
      <c r="AA1710" s="237"/>
      <c r="AB1710" s="237"/>
      <c r="AC1710" s="237"/>
      <c r="AD1710" s="237"/>
      <c r="AE1710" s="237"/>
      <c r="AF1710" s="237"/>
      <c r="AG1710" s="237"/>
      <c r="AH1710" s="237"/>
      <c r="AJ1710" s="238"/>
    </row>
    <row r="1711" spans="1:39" x14ac:dyDescent="0.25">
      <c r="AA1711" s="237"/>
      <c r="AB1711" s="237"/>
      <c r="AC1711" s="237"/>
      <c r="AD1711" s="237"/>
      <c r="AE1711" s="237"/>
      <c r="AF1711" s="237"/>
      <c r="AG1711" s="237"/>
      <c r="AH1711" s="237"/>
      <c r="AJ1711" s="238"/>
    </row>
    <row r="1712" spans="1:39" x14ac:dyDescent="0.25">
      <c r="AA1712" s="237"/>
      <c r="AB1712" s="237"/>
      <c r="AC1712" s="237"/>
      <c r="AD1712" s="237"/>
      <c r="AE1712" s="237"/>
      <c r="AF1712" s="237"/>
      <c r="AG1712" s="237"/>
      <c r="AH1712" s="237"/>
      <c r="AJ1712" s="238"/>
    </row>
    <row r="1713" spans="1:39" x14ac:dyDescent="0.25">
      <c r="AA1713" s="237"/>
      <c r="AB1713" s="237"/>
      <c r="AC1713" s="237"/>
      <c r="AD1713" s="237"/>
      <c r="AE1713" s="237"/>
      <c r="AF1713" s="237"/>
      <c r="AG1713" s="237"/>
      <c r="AH1713" s="237"/>
      <c r="AJ1713" s="238"/>
    </row>
    <row r="1714" spans="1:39" x14ac:dyDescent="0.25">
      <c r="AA1714" s="237"/>
      <c r="AB1714" s="237"/>
      <c r="AC1714" s="237"/>
      <c r="AD1714" s="237"/>
      <c r="AE1714" s="237"/>
      <c r="AF1714" s="237"/>
      <c r="AG1714" s="237"/>
      <c r="AH1714" s="237"/>
      <c r="AJ1714" s="238"/>
    </row>
    <row r="1715" spans="1:39" x14ac:dyDescent="0.25">
      <c r="AA1715" s="237"/>
      <c r="AB1715" s="237"/>
      <c r="AC1715" s="237"/>
      <c r="AD1715" s="237"/>
      <c r="AE1715" s="237"/>
      <c r="AF1715" s="237"/>
      <c r="AG1715" s="237"/>
      <c r="AH1715" s="237"/>
      <c r="AJ1715" s="238"/>
    </row>
    <row r="1716" spans="1:39" x14ac:dyDescent="0.25">
      <c r="AA1716" s="237"/>
      <c r="AB1716" s="237"/>
      <c r="AC1716" s="237"/>
      <c r="AD1716" s="237"/>
      <c r="AE1716" s="237"/>
      <c r="AF1716" s="237"/>
      <c r="AG1716" s="237"/>
      <c r="AH1716" s="237"/>
      <c r="AJ1716" s="238"/>
    </row>
    <row r="1717" spans="1:39" x14ac:dyDescent="0.25">
      <c r="AA1717" s="237"/>
      <c r="AB1717" s="237"/>
      <c r="AC1717" s="237"/>
      <c r="AD1717" s="237"/>
      <c r="AE1717" s="237"/>
      <c r="AF1717" s="237"/>
      <c r="AG1717" s="237"/>
      <c r="AH1717" s="237"/>
      <c r="AJ1717" s="238"/>
    </row>
    <row r="1718" spans="1:39" ht="12.75" x14ac:dyDescent="0.2">
      <c r="AL1718" s="226"/>
      <c r="AM1718" s="226"/>
    </row>
    <row r="1719" spans="1:39" ht="12.75" x14ac:dyDescent="0.2">
      <c r="A1719" s="236"/>
      <c r="B1719" s="236"/>
      <c r="C1719" s="236"/>
      <c r="D1719" s="236"/>
      <c r="E1719" s="237"/>
      <c r="G1719" s="237"/>
      <c r="H1719" s="237"/>
      <c r="I1719" s="237"/>
      <c r="K1719" s="237"/>
      <c r="N1719" s="237"/>
      <c r="O1719" s="237"/>
      <c r="P1719" s="237"/>
      <c r="Q1719" s="237"/>
      <c r="AL1719" s="226"/>
      <c r="AM1719" s="226"/>
    </row>
    <row r="1720" spans="1:39" x14ac:dyDescent="0.25">
      <c r="AA1720" s="237"/>
      <c r="AB1720" s="237"/>
      <c r="AC1720" s="237"/>
      <c r="AD1720" s="237"/>
      <c r="AE1720" s="237"/>
      <c r="AF1720" s="237"/>
      <c r="AG1720" s="237"/>
      <c r="AH1720" s="237"/>
      <c r="AJ1720" s="238"/>
    </row>
    <row r="1721" spans="1:39" ht="12.75" x14ac:dyDescent="0.2">
      <c r="AL1721" s="226"/>
      <c r="AM1721" s="226"/>
    </row>
    <row r="1722" spans="1:39" ht="12.75" x14ac:dyDescent="0.2">
      <c r="A1722" s="236"/>
      <c r="B1722" s="236"/>
      <c r="C1722" s="236"/>
      <c r="D1722" s="236"/>
      <c r="E1722" s="237"/>
      <c r="G1722" s="237"/>
      <c r="H1722" s="237"/>
      <c r="I1722" s="237"/>
      <c r="K1722" s="237"/>
      <c r="N1722" s="237"/>
      <c r="O1722" s="237"/>
      <c r="P1722" s="237"/>
      <c r="Q1722" s="237"/>
      <c r="AL1722" s="226"/>
      <c r="AM1722" s="226"/>
    </row>
    <row r="1723" spans="1:39" x14ac:dyDescent="0.25">
      <c r="AA1723" s="237"/>
      <c r="AB1723" s="237"/>
      <c r="AC1723" s="237"/>
      <c r="AD1723" s="237"/>
      <c r="AE1723" s="237"/>
      <c r="AF1723" s="237"/>
      <c r="AG1723" s="237"/>
      <c r="AH1723" s="237"/>
      <c r="AJ1723" s="238"/>
    </row>
    <row r="1724" spans="1:39" x14ac:dyDescent="0.25">
      <c r="AA1724" s="237"/>
      <c r="AB1724" s="237"/>
      <c r="AC1724" s="237"/>
      <c r="AD1724" s="237"/>
      <c r="AE1724" s="237"/>
      <c r="AF1724" s="237"/>
      <c r="AG1724" s="237"/>
      <c r="AH1724" s="237"/>
      <c r="AJ1724" s="238"/>
    </row>
    <row r="1725" spans="1:39" x14ac:dyDescent="0.25">
      <c r="AA1725" s="237"/>
      <c r="AB1725" s="237"/>
      <c r="AC1725" s="237"/>
      <c r="AD1725" s="237"/>
      <c r="AE1725" s="237"/>
      <c r="AF1725" s="237"/>
      <c r="AG1725" s="237"/>
      <c r="AH1725" s="237"/>
      <c r="AJ1725" s="238"/>
    </row>
    <row r="1726" spans="1:39" x14ac:dyDescent="0.25">
      <c r="AA1726" s="237"/>
      <c r="AB1726" s="237"/>
      <c r="AC1726" s="237"/>
      <c r="AD1726" s="237"/>
      <c r="AE1726" s="237"/>
      <c r="AF1726" s="237"/>
      <c r="AG1726" s="237"/>
      <c r="AH1726" s="237"/>
      <c r="AJ1726" s="238"/>
    </row>
    <row r="1727" spans="1:39" ht="12.75" x14ac:dyDescent="0.2">
      <c r="AL1727" s="226"/>
      <c r="AM1727" s="226"/>
    </row>
    <row r="1728" spans="1:39" ht="12.75" x14ac:dyDescent="0.2">
      <c r="A1728" s="236"/>
      <c r="B1728" s="236"/>
      <c r="C1728" s="236"/>
      <c r="D1728" s="236"/>
      <c r="E1728" s="237"/>
      <c r="G1728" s="237"/>
      <c r="H1728" s="237"/>
      <c r="I1728" s="237"/>
      <c r="K1728" s="237"/>
      <c r="N1728" s="237"/>
      <c r="O1728" s="237"/>
      <c r="P1728" s="237"/>
      <c r="Q1728" s="237"/>
      <c r="AL1728" s="226"/>
      <c r="AM1728" s="226"/>
    </row>
    <row r="1729" spans="1:39" x14ac:dyDescent="0.25">
      <c r="AA1729" s="237"/>
      <c r="AB1729" s="237"/>
      <c r="AC1729" s="237"/>
      <c r="AD1729" s="237"/>
      <c r="AE1729" s="237"/>
      <c r="AF1729" s="237"/>
      <c r="AG1729" s="237"/>
      <c r="AH1729" s="237"/>
      <c r="AJ1729" s="238"/>
    </row>
    <row r="1730" spans="1:39" x14ac:dyDescent="0.25">
      <c r="AA1730" s="237"/>
      <c r="AB1730" s="237"/>
      <c r="AC1730" s="237"/>
      <c r="AD1730" s="237"/>
      <c r="AE1730" s="237"/>
      <c r="AF1730" s="237"/>
      <c r="AG1730" s="237"/>
      <c r="AH1730" s="237"/>
      <c r="AJ1730" s="238"/>
    </row>
    <row r="1731" spans="1:39" x14ac:dyDescent="0.25">
      <c r="AA1731" s="237"/>
      <c r="AB1731" s="237"/>
      <c r="AC1731" s="237"/>
      <c r="AD1731" s="237"/>
      <c r="AE1731" s="237"/>
      <c r="AF1731" s="237"/>
      <c r="AG1731" s="237"/>
      <c r="AH1731" s="237"/>
      <c r="AJ1731" s="238"/>
    </row>
    <row r="1732" spans="1:39" x14ac:dyDescent="0.25">
      <c r="AA1732" s="237"/>
      <c r="AB1732" s="237"/>
      <c r="AC1732" s="237"/>
      <c r="AD1732" s="237"/>
      <c r="AE1732" s="237"/>
      <c r="AF1732" s="237"/>
      <c r="AG1732" s="237"/>
      <c r="AH1732" s="237"/>
      <c r="AJ1732" s="238"/>
    </row>
    <row r="1733" spans="1:39" ht="12.75" x14ac:dyDescent="0.2">
      <c r="AL1733" s="226"/>
      <c r="AM1733" s="226"/>
    </row>
    <row r="1734" spans="1:39" ht="12.75" x14ac:dyDescent="0.2">
      <c r="A1734" s="236"/>
      <c r="B1734" s="236"/>
      <c r="C1734" s="236"/>
      <c r="D1734" s="236"/>
      <c r="E1734" s="237"/>
      <c r="G1734" s="237"/>
      <c r="H1734" s="237"/>
      <c r="I1734" s="237"/>
      <c r="K1734" s="237"/>
      <c r="N1734" s="237"/>
      <c r="O1734" s="237"/>
      <c r="P1734" s="237"/>
      <c r="Q1734" s="237"/>
      <c r="AL1734" s="226"/>
      <c r="AM1734" s="226"/>
    </row>
    <row r="1735" spans="1:39" x14ac:dyDescent="0.25">
      <c r="AA1735" s="237"/>
      <c r="AB1735" s="237"/>
      <c r="AC1735" s="237"/>
      <c r="AD1735" s="237"/>
      <c r="AE1735" s="237"/>
      <c r="AF1735" s="237"/>
      <c r="AG1735" s="237"/>
      <c r="AH1735" s="237"/>
      <c r="AJ1735" s="238"/>
    </row>
    <row r="1736" spans="1:39" x14ac:dyDescent="0.25">
      <c r="AA1736" s="237"/>
      <c r="AB1736" s="237"/>
      <c r="AC1736" s="237"/>
      <c r="AD1736" s="237"/>
      <c r="AE1736" s="237"/>
      <c r="AF1736" s="237"/>
      <c r="AG1736" s="237"/>
      <c r="AH1736" s="237"/>
      <c r="AJ1736" s="238"/>
    </row>
    <row r="1737" spans="1:39" ht="12.75" x14ac:dyDescent="0.2">
      <c r="AL1737" s="226"/>
      <c r="AM1737" s="226"/>
    </row>
    <row r="1738" spans="1:39" ht="12.75" x14ac:dyDescent="0.2">
      <c r="A1738" s="236"/>
      <c r="B1738" s="236"/>
      <c r="C1738" s="236"/>
      <c r="D1738" s="236"/>
      <c r="E1738" s="237"/>
      <c r="G1738" s="237"/>
      <c r="H1738" s="237"/>
      <c r="I1738" s="237"/>
      <c r="K1738" s="237"/>
      <c r="N1738" s="237"/>
      <c r="O1738" s="237"/>
      <c r="P1738" s="237"/>
      <c r="Q1738" s="237"/>
      <c r="AL1738" s="226"/>
      <c r="AM1738" s="226"/>
    </row>
    <row r="1739" spans="1:39" x14ac:dyDescent="0.25">
      <c r="AA1739" s="237"/>
      <c r="AB1739" s="237"/>
      <c r="AC1739" s="237"/>
      <c r="AD1739" s="237"/>
      <c r="AE1739" s="237"/>
      <c r="AF1739" s="237"/>
      <c r="AG1739" s="237"/>
      <c r="AH1739" s="237"/>
      <c r="AJ1739" s="238"/>
    </row>
    <row r="1740" spans="1:39" x14ac:dyDescent="0.25">
      <c r="AA1740" s="237"/>
      <c r="AB1740" s="237"/>
      <c r="AC1740" s="237"/>
      <c r="AD1740" s="237"/>
      <c r="AE1740" s="237"/>
      <c r="AF1740" s="237"/>
      <c r="AG1740" s="237"/>
      <c r="AH1740" s="237"/>
      <c r="AJ1740" s="238"/>
    </row>
    <row r="1741" spans="1:39" x14ac:dyDescent="0.25">
      <c r="AA1741" s="237"/>
      <c r="AB1741" s="237"/>
      <c r="AC1741" s="237"/>
      <c r="AD1741" s="237"/>
      <c r="AE1741" s="237"/>
      <c r="AF1741" s="237"/>
      <c r="AG1741" s="237"/>
      <c r="AH1741" s="237"/>
      <c r="AJ1741" s="238"/>
    </row>
    <row r="1742" spans="1:39" x14ac:dyDescent="0.25">
      <c r="AA1742" s="237"/>
      <c r="AB1742" s="237"/>
      <c r="AC1742" s="237"/>
      <c r="AD1742" s="237"/>
      <c r="AE1742" s="237"/>
      <c r="AF1742" s="237"/>
      <c r="AG1742" s="237"/>
      <c r="AH1742" s="237"/>
      <c r="AJ1742" s="238"/>
    </row>
    <row r="1743" spans="1:39" x14ac:dyDescent="0.25">
      <c r="AA1743" s="237"/>
      <c r="AB1743" s="237"/>
      <c r="AC1743" s="237"/>
      <c r="AD1743" s="237"/>
      <c r="AE1743" s="237"/>
      <c r="AF1743" s="237"/>
      <c r="AG1743" s="237"/>
      <c r="AH1743" s="237"/>
      <c r="AJ1743" s="238"/>
    </row>
    <row r="1744" spans="1:39" x14ac:dyDescent="0.25">
      <c r="AA1744" s="237"/>
      <c r="AB1744" s="237"/>
      <c r="AC1744" s="237"/>
      <c r="AD1744" s="237"/>
      <c r="AE1744" s="237"/>
      <c r="AF1744" s="237"/>
      <c r="AG1744" s="237"/>
      <c r="AH1744" s="237"/>
      <c r="AJ1744" s="238"/>
    </row>
    <row r="1745" spans="1:39" x14ac:dyDescent="0.25">
      <c r="AA1745" s="237"/>
      <c r="AB1745" s="237"/>
      <c r="AC1745" s="237"/>
      <c r="AD1745" s="237"/>
      <c r="AE1745" s="237"/>
      <c r="AF1745" s="237"/>
      <c r="AG1745" s="237"/>
      <c r="AH1745" s="237"/>
      <c r="AJ1745" s="238"/>
    </row>
    <row r="1746" spans="1:39" ht="12.75" x14ac:dyDescent="0.2">
      <c r="AL1746" s="226"/>
      <c r="AM1746" s="226"/>
    </row>
    <row r="1747" spans="1:39" ht="12.75" x14ac:dyDescent="0.2">
      <c r="A1747" s="236"/>
      <c r="B1747" s="236"/>
      <c r="C1747" s="236"/>
      <c r="D1747" s="236"/>
      <c r="E1747" s="237"/>
      <c r="G1747" s="237"/>
      <c r="H1747" s="237"/>
      <c r="I1747" s="237"/>
      <c r="K1747" s="237"/>
      <c r="N1747" s="237"/>
      <c r="O1747" s="237"/>
      <c r="P1747" s="237"/>
      <c r="Q1747" s="237"/>
      <c r="AL1747" s="226"/>
      <c r="AM1747" s="226"/>
    </row>
    <row r="1748" spans="1:39" x14ac:dyDescent="0.25">
      <c r="AA1748" s="237"/>
      <c r="AB1748" s="237"/>
      <c r="AC1748" s="237"/>
      <c r="AD1748" s="237"/>
      <c r="AE1748" s="237"/>
      <c r="AF1748" s="237"/>
      <c r="AG1748" s="237"/>
      <c r="AH1748" s="237"/>
      <c r="AJ1748" s="238"/>
    </row>
    <row r="1749" spans="1:39" x14ac:dyDescent="0.25">
      <c r="AA1749" s="237"/>
      <c r="AB1749" s="237"/>
      <c r="AC1749" s="237"/>
      <c r="AD1749" s="237"/>
      <c r="AE1749" s="237"/>
      <c r="AF1749" s="237"/>
      <c r="AG1749" s="237"/>
      <c r="AH1749" s="237"/>
      <c r="AJ1749" s="238"/>
    </row>
    <row r="1750" spans="1:39" ht="12.75" x14ac:dyDescent="0.2">
      <c r="AL1750" s="226"/>
      <c r="AM1750" s="226"/>
    </row>
    <row r="1751" spans="1:39" ht="12.75" x14ac:dyDescent="0.2">
      <c r="A1751" s="236"/>
      <c r="B1751" s="236"/>
      <c r="C1751" s="236"/>
      <c r="D1751" s="236"/>
      <c r="E1751" s="237"/>
      <c r="G1751" s="237"/>
      <c r="H1751" s="237"/>
      <c r="I1751" s="237"/>
      <c r="K1751" s="237"/>
      <c r="N1751" s="237"/>
      <c r="O1751" s="237"/>
      <c r="P1751" s="237"/>
      <c r="Q1751" s="237"/>
      <c r="AL1751" s="226"/>
      <c r="AM1751" s="226"/>
    </row>
    <row r="1752" spans="1:39" x14ac:dyDescent="0.25">
      <c r="AA1752" s="237"/>
      <c r="AB1752" s="237"/>
      <c r="AC1752" s="237"/>
      <c r="AD1752" s="237"/>
      <c r="AE1752" s="237"/>
      <c r="AF1752" s="237"/>
      <c r="AG1752" s="237"/>
      <c r="AH1752" s="237"/>
      <c r="AJ1752" s="238"/>
    </row>
    <row r="1753" spans="1:39" ht="12.75" x14ac:dyDescent="0.2">
      <c r="AL1753" s="226"/>
      <c r="AM1753" s="226"/>
    </row>
    <row r="1754" spans="1:39" ht="12.75" x14ac:dyDescent="0.2">
      <c r="A1754" s="236"/>
      <c r="B1754" s="236"/>
      <c r="C1754" s="236"/>
      <c r="D1754" s="236"/>
      <c r="E1754" s="237"/>
      <c r="G1754" s="237"/>
      <c r="H1754" s="237"/>
      <c r="I1754" s="237"/>
      <c r="K1754" s="237"/>
      <c r="N1754" s="237"/>
      <c r="O1754" s="237"/>
      <c r="P1754" s="237"/>
      <c r="Q1754" s="237"/>
      <c r="AL1754" s="226"/>
      <c r="AM1754" s="226"/>
    </row>
    <row r="1755" spans="1:39" x14ac:dyDescent="0.25">
      <c r="AA1755" s="237"/>
      <c r="AB1755" s="237"/>
      <c r="AC1755" s="237"/>
      <c r="AD1755" s="237"/>
      <c r="AE1755" s="237"/>
      <c r="AF1755" s="237"/>
      <c r="AG1755" s="237"/>
      <c r="AH1755" s="237"/>
      <c r="AJ1755" s="238"/>
    </row>
    <row r="1756" spans="1:39" ht="12.75" x14ac:dyDescent="0.2">
      <c r="AL1756" s="226"/>
      <c r="AM1756" s="226"/>
    </row>
    <row r="1757" spans="1:39" ht="12.75" x14ac:dyDescent="0.2">
      <c r="A1757" s="236"/>
      <c r="B1757" s="236"/>
      <c r="C1757" s="236"/>
      <c r="D1757" s="236"/>
      <c r="E1757" s="237"/>
      <c r="G1757" s="237"/>
      <c r="H1757" s="237"/>
      <c r="I1757" s="237"/>
      <c r="K1757" s="237"/>
      <c r="N1757" s="237"/>
      <c r="O1757" s="237"/>
      <c r="P1757" s="237"/>
      <c r="Q1757" s="237"/>
      <c r="AL1757" s="226"/>
      <c r="AM1757" s="226"/>
    </row>
    <row r="1758" spans="1:39" x14ac:dyDescent="0.25">
      <c r="AA1758" s="237"/>
      <c r="AB1758" s="237"/>
      <c r="AC1758" s="237"/>
      <c r="AD1758" s="237"/>
      <c r="AE1758" s="237"/>
      <c r="AF1758" s="237"/>
      <c r="AG1758" s="237"/>
      <c r="AH1758" s="237"/>
      <c r="AJ1758" s="238"/>
    </row>
    <row r="1759" spans="1:39" ht="12.75" x14ac:dyDescent="0.2">
      <c r="AL1759" s="226"/>
      <c r="AM1759" s="226"/>
    </row>
    <row r="1760" spans="1:39" ht="12.75" x14ac:dyDescent="0.2">
      <c r="A1760" s="236"/>
      <c r="B1760" s="236"/>
      <c r="C1760" s="236"/>
      <c r="D1760" s="236"/>
      <c r="E1760" s="237"/>
      <c r="G1760" s="237"/>
      <c r="H1760" s="237"/>
      <c r="I1760" s="237"/>
      <c r="K1760" s="237"/>
      <c r="N1760" s="237"/>
      <c r="O1760" s="237"/>
      <c r="P1760" s="237"/>
      <c r="Q1760" s="237"/>
      <c r="AL1760" s="226"/>
      <c r="AM1760" s="226"/>
    </row>
    <row r="1761" spans="1:39" x14ac:dyDescent="0.25">
      <c r="AA1761" s="237"/>
      <c r="AB1761" s="237"/>
      <c r="AC1761" s="237"/>
      <c r="AD1761" s="237"/>
      <c r="AE1761" s="237"/>
      <c r="AF1761" s="237"/>
      <c r="AG1761" s="237"/>
      <c r="AH1761" s="237"/>
      <c r="AJ1761" s="238"/>
    </row>
    <row r="1762" spans="1:39" x14ac:dyDescent="0.25">
      <c r="AA1762" s="237"/>
      <c r="AB1762" s="237"/>
      <c r="AC1762" s="237"/>
      <c r="AD1762" s="237"/>
      <c r="AE1762" s="237"/>
      <c r="AF1762" s="237"/>
      <c r="AG1762" s="237"/>
      <c r="AH1762" s="237"/>
      <c r="AJ1762" s="238"/>
    </row>
    <row r="1763" spans="1:39" ht="12.75" x14ac:dyDescent="0.2">
      <c r="AL1763" s="226"/>
      <c r="AM1763" s="226"/>
    </row>
    <row r="1764" spans="1:39" ht="12.75" x14ac:dyDescent="0.2">
      <c r="A1764" s="236"/>
      <c r="B1764" s="236"/>
      <c r="C1764" s="236"/>
      <c r="D1764" s="236"/>
      <c r="E1764" s="237"/>
      <c r="G1764" s="237"/>
      <c r="H1764" s="237"/>
      <c r="I1764" s="237"/>
      <c r="K1764" s="237"/>
      <c r="N1764" s="237"/>
      <c r="O1764" s="237"/>
      <c r="P1764" s="237"/>
      <c r="Q1764" s="237"/>
      <c r="AL1764" s="226"/>
      <c r="AM1764" s="226"/>
    </row>
    <row r="1765" spans="1:39" x14ac:dyDescent="0.25">
      <c r="AA1765" s="237"/>
      <c r="AB1765" s="237"/>
      <c r="AC1765" s="237"/>
      <c r="AD1765" s="237"/>
      <c r="AE1765" s="237"/>
      <c r="AF1765" s="237"/>
      <c r="AG1765" s="237"/>
      <c r="AH1765" s="237"/>
      <c r="AJ1765" s="238"/>
    </row>
    <row r="1766" spans="1:39" x14ac:dyDescent="0.25">
      <c r="AA1766" s="237"/>
      <c r="AB1766" s="237"/>
      <c r="AC1766" s="237"/>
      <c r="AD1766" s="237"/>
      <c r="AE1766" s="237"/>
      <c r="AF1766" s="237"/>
      <c r="AG1766" s="237"/>
      <c r="AH1766" s="237"/>
      <c r="AJ1766" s="238"/>
    </row>
    <row r="1767" spans="1:39" x14ac:dyDescent="0.25">
      <c r="AA1767" s="237"/>
      <c r="AB1767" s="237"/>
      <c r="AC1767" s="237"/>
      <c r="AD1767" s="237"/>
      <c r="AE1767" s="237"/>
      <c r="AF1767" s="237"/>
      <c r="AG1767" s="237"/>
      <c r="AH1767" s="237"/>
      <c r="AJ1767" s="238"/>
    </row>
    <row r="1768" spans="1:39" x14ac:dyDescent="0.25">
      <c r="AA1768" s="237"/>
      <c r="AB1768" s="237"/>
      <c r="AC1768" s="237"/>
      <c r="AD1768" s="237"/>
      <c r="AE1768" s="237"/>
      <c r="AF1768" s="237"/>
      <c r="AG1768" s="237"/>
      <c r="AH1768" s="237"/>
      <c r="AJ1768" s="238"/>
    </row>
    <row r="1769" spans="1:39" ht="12.75" x14ac:dyDescent="0.2">
      <c r="AL1769" s="226"/>
      <c r="AM1769" s="226"/>
    </row>
    <row r="1770" spans="1:39" ht="12.75" x14ac:dyDescent="0.2">
      <c r="A1770" s="236"/>
      <c r="B1770" s="236"/>
      <c r="C1770" s="236"/>
      <c r="D1770" s="236"/>
      <c r="E1770" s="237"/>
      <c r="G1770" s="237"/>
      <c r="H1770" s="237"/>
      <c r="I1770" s="237"/>
      <c r="K1770" s="237"/>
      <c r="N1770" s="237"/>
      <c r="O1770" s="237"/>
      <c r="P1770" s="237"/>
      <c r="Q1770" s="237"/>
      <c r="AL1770" s="226"/>
      <c r="AM1770" s="226"/>
    </row>
    <row r="1771" spans="1:39" x14ac:dyDescent="0.25">
      <c r="AA1771" s="237"/>
      <c r="AB1771" s="237"/>
      <c r="AC1771" s="237"/>
      <c r="AD1771" s="237"/>
      <c r="AE1771" s="237"/>
      <c r="AF1771" s="237"/>
      <c r="AG1771" s="237"/>
      <c r="AH1771" s="237"/>
      <c r="AJ1771" s="238"/>
    </row>
    <row r="1772" spans="1:39" ht="12.75" x14ac:dyDescent="0.2">
      <c r="AL1772" s="226"/>
      <c r="AM1772" s="226"/>
    </row>
    <row r="1773" spans="1:39" ht="12.75" x14ac:dyDescent="0.2">
      <c r="A1773" s="236"/>
      <c r="B1773" s="236"/>
      <c r="C1773" s="236"/>
      <c r="D1773" s="236"/>
      <c r="E1773" s="237"/>
      <c r="G1773" s="237"/>
      <c r="H1773" s="237"/>
      <c r="I1773" s="237"/>
      <c r="K1773" s="237"/>
      <c r="N1773" s="237"/>
      <c r="O1773" s="237"/>
      <c r="P1773" s="237"/>
      <c r="Q1773" s="237"/>
      <c r="AL1773" s="226"/>
      <c r="AM1773" s="226"/>
    </row>
    <row r="1774" spans="1:39" x14ac:dyDescent="0.25">
      <c r="AA1774" s="237"/>
      <c r="AB1774" s="237"/>
      <c r="AC1774" s="237"/>
      <c r="AD1774" s="237"/>
      <c r="AE1774" s="237"/>
      <c r="AF1774" s="237"/>
      <c r="AG1774" s="237"/>
      <c r="AH1774" s="237"/>
      <c r="AJ1774" s="238"/>
    </row>
    <row r="1775" spans="1:39" x14ac:dyDescent="0.25">
      <c r="AA1775" s="237"/>
      <c r="AB1775" s="237"/>
      <c r="AC1775" s="237"/>
      <c r="AD1775" s="237"/>
      <c r="AE1775" s="237"/>
      <c r="AF1775" s="237"/>
      <c r="AG1775" s="237"/>
      <c r="AH1775" s="237"/>
      <c r="AJ1775" s="238"/>
    </row>
    <row r="1776" spans="1:39" ht="12.75" x14ac:dyDescent="0.2">
      <c r="AL1776" s="226"/>
      <c r="AM1776" s="226"/>
    </row>
    <row r="1777" spans="1:39" ht="12.75" x14ac:dyDescent="0.2">
      <c r="A1777" s="236"/>
      <c r="B1777" s="236"/>
      <c r="C1777" s="236"/>
      <c r="D1777" s="236"/>
      <c r="E1777" s="237"/>
      <c r="G1777" s="237"/>
      <c r="H1777" s="237"/>
      <c r="I1777" s="237"/>
      <c r="K1777" s="237"/>
      <c r="N1777" s="237"/>
      <c r="O1777" s="237"/>
      <c r="P1777" s="237"/>
      <c r="Q1777" s="237"/>
      <c r="AL1777" s="226"/>
      <c r="AM1777" s="226"/>
    </row>
    <row r="1778" spans="1:39" x14ac:dyDescent="0.25">
      <c r="AA1778" s="237"/>
      <c r="AB1778" s="237"/>
      <c r="AC1778" s="237"/>
      <c r="AD1778" s="237"/>
      <c r="AE1778" s="237"/>
      <c r="AF1778" s="237"/>
      <c r="AG1778" s="237"/>
      <c r="AH1778" s="237"/>
      <c r="AJ1778" s="238"/>
    </row>
    <row r="1779" spans="1:39" ht="12.75" x14ac:dyDescent="0.2">
      <c r="AL1779" s="226"/>
      <c r="AM1779" s="226"/>
    </row>
    <row r="1780" spans="1:39" ht="12.75" x14ac:dyDescent="0.2">
      <c r="A1780" s="236"/>
      <c r="B1780" s="236"/>
      <c r="C1780" s="236"/>
      <c r="D1780" s="236"/>
      <c r="E1780" s="237"/>
      <c r="G1780" s="237"/>
      <c r="H1780" s="237"/>
      <c r="I1780" s="237"/>
      <c r="K1780" s="237"/>
      <c r="N1780" s="237"/>
      <c r="O1780" s="237"/>
      <c r="P1780" s="237"/>
      <c r="Q1780" s="237"/>
      <c r="AL1780" s="226"/>
      <c r="AM1780" s="226"/>
    </row>
    <row r="1781" spans="1:39" x14ac:dyDescent="0.25">
      <c r="AA1781" s="237"/>
      <c r="AB1781" s="237"/>
      <c r="AC1781" s="237"/>
      <c r="AD1781" s="237"/>
      <c r="AE1781" s="237"/>
      <c r="AF1781" s="237"/>
      <c r="AG1781" s="237"/>
      <c r="AH1781" s="237"/>
      <c r="AJ1781" s="238"/>
    </row>
    <row r="1782" spans="1:39" x14ac:dyDescent="0.25">
      <c r="AA1782" s="237"/>
      <c r="AB1782" s="237"/>
      <c r="AC1782" s="237"/>
      <c r="AD1782" s="237"/>
      <c r="AE1782" s="237"/>
      <c r="AF1782" s="237"/>
      <c r="AG1782" s="237"/>
      <c r="AH1782" s="237"/>
      <c r="AJ1782" s="238"/>
    </row>
    <row r="1783" spans="1:39" x14ac:dyDescent="0.25">
      <c r="AA1783" s="237"/>
      <c r="AB1783" s="237"/>
      <c r="AC1783" s="237"/>
      <c r="AD1783" s="237"/>
      <c r="AE1783" s="237"/>
      <c r="AF1783" s="237"/>
      <c r="AG1783" s="237"/>
      <c r="AH1783" s="237"/>
      <c r="AJ1783" s="238"/>
    </row>
    <row r="1784" spans="1:39" x14ac:dyDescent="0.25">
      <c r="AA1784" s="237"/>
      <c r="AB1784" s="237"/>
      <c r="AC1784" s="237"/>
      <c r="AD1784" s="237"/>
      <c r="AE1784" s="237"/>
      <c r="AF1784" s="237"/>
      <c r="AG1784" s="237"/>
      <c r="AH1784" s="237"/>
      <c r="AJ1784" s="238"/>
    </row>
    <row r="1785" spans="1:39" x14ac:dyDescent="0.25">
      <c r="AA1785" s="237"/>
      <c r="AB1785" s="237"/>
      <c r="AC1785" s="237"/>
      <c r="AD1785" s="237"/>
      <c r="AE1785" s="237"/>
      <c r="AF1785" s="237"/>
      <c r="AG1785" s="237"/>
      <c r="AH1785" s="237"/>
      <c r="AJ1785" s="238"/>
    </row>
    <row r="1786" spans="1:39" ht="12.75" x14ac:dyDescent="0.2">
      <c r="AL1786" s="226"/>
      <c r="AM1786" s="226"/>
    </row>
    <row r="1787" spans="1:39" ht="12.75" x14ac:dyDescent="0.2">
      <c r="A1787" s="236"/>
      <c r="B1787" s="236"/>
      <c r="C1787" s="236"/>
      <c r="D1787" s="236"/>
      <c r="E1787" s="237"/>
      <c r="G1787" s="237"/>
      <c r="H1787" s="237"/>
      <c r="I1787" s="237"/>
      <c r="K1787" s="237"/>
      <c r="N1787" s="237"/>
      <c r="O1787" s="237"/>
      <c r="P1787" s="237"/>
      <c r="Q1787" s="237"/>
      <c r="AL1787" s="226"/>
      <c r="AM1787" s="226"/>
    </row>
    <row r="1788" spans="1:39" x14ac:dyDescent="0.25">
      <c r="AA1788" s="237"/>
      <c r="AB1788" s="237"/>
      <c r="AC1788" s="237"/>
      <c r="AD1788" s="237"/>
      <c r="AE1788" s="237"/>
      <c r="AF1788" s="237"/>
      <c r="AG1788" s="237"/>
      <c r="AH1788" s="237"/>
      <c r="AJ1788" s="238"/>
    </row>
    <row r="1789" spans="1:39" x14ac:dyDescent="0.25">
      <c r="AA1789" s="237"/>
      <c r="AB1789" s="237"/>
      <c r="AC1789" s="237"/>
      <c r="AD1789" s="237"/>
      <c r="AE1789" s="237"/>
      <c r="AF1789" s="237"/>
      <c r="AG1789" s="237"/>
      <c r="AH1789" s="237"/>
      <c r="AJ1789" s="238"/>
    </row>
    <row r="1790" spans="1:39" x14ac:dyDescent="0.25">
      <c r="AA1790" s="237"/>
      <c r="AB1790" s="237"/>
      <c r="AC1790" s="237"/>
      <c r="AD1790" s="237"/>
      <c r="AE1790" s="237"/>
      <c r="AF1790" s="237"/>
      <c r="AG1790" s="237"/>
      <c r="AH1790" s="237"/>
      <c r="AJ1790" s="238"/>
    </row>
    <row r="1791" spans="1:39" x14ac:dyDescent="0.25">
      <c r="AA1791" s="237"/>
      <c r="AB1791" s="237"/>
      <c r="AC1791" s="237"/>
      <c r="AD1791" s="237"/>
      <c r="AE1791" s="237"/>
      <c r="AF1791" s="237"/>
      <c r="AG1791" s="237"/>
      <c r="AH1791" s="237"/>
      <c r="AJ1791" s="238"/>
    </row>
    <row r="1792" spans="1:39" x14ac:dyDescent="0.25">
      <c r="AA1792" s="237"/>
      <c r="AB1792" s="237"/>
      <c r="AC1792" s="237"/>
      <c r="AD1792" s="237"/>
      <c r="AE1792" s="237"/>
      <c r="AF1792" s="237"/>
      <c r="AG1792" s="237"/>
      <c r="AH1792" s="237"/>
      <c r="AJ1792" s="238"/>
    </row>
    <row r="1793" spans="1:39" x14ac:dyDescent="0.25">
      <c r="AA1793" s="237"/>
      <c r="AB1793" s="237"/>
      <c r="AC1793" s="237"/>
      <c r="AD1793" s="237"/>
      <c r="AE1793" s="237"/>
      <c r="AF1793" s="237"/>
      <c r="AG1793" s="237"/>
      <c r="AH1793" s="237"/>
      <c r="AJ1793" s="238"/>
    </row>
    <row r="1794" spans="1:39" x14ac:dyDescent="0.25">
      <c r="AA1794" s="237"/>
      <c r="AB1794" s="237"/>
      <c r="AC1794" s="237"/>
      <c r="AD1794" s="237"/>
      <c r="AE1794" s="237"/>
      <c r="AF1794" s="237"/>
      <c r="AG1794" s="237"/>
      <c r="AH1794" s="237"/>
      <c r="AJ1794" s="238"/>
    </row>
    <row r="1795" spans="1:39" x14ac:dyDescent="0.25">
      <c r="AA1795" s="237"/>
      <c r="AB1795" s="237"/>
      <c r="AC1795" s="237"/>
      <c r="AD1795" s="237"/>
      <c r="AE1795" s="237"/>
      <c r="AF1795" s="237"/>
      <c r="AG1795" s="237"/>
      <c r="AH1795" s="237"/>
      <c r="AJ1795" s="238"/>
    </row>
    <row r="1796" spans="1:39" x14ac:dyDescent="0.25">
      <c r="AA1796" s="237"/>
      <c r="AB1796" s="237"/>
      <c r="AC1796" s="237"/>
      <c r="AD1796" s="237"/>
      <c r="AE1796" s="237"/>
      <c r="AF1796" s="237"/>
      <c r="AG1796" s="237"/>
      <c r="AH1796" s="237"/>
      <c r="AJ1796" s="238"/>
    </row>
    <row r="1797" spans="1:39" x14ac:dyDescent="0.25">
      <c r="AA1797" s="237"/>
      <c r="AB1797" s="237"/>
      <c r="AC1797" s="237"/>
      <c r="AD1797" s="237"/>
      <c r="AE1797" s="237"/>
      <c r="AF1797" s="237"/>
      <c r="AG1797" s="237"/>
      <c r="AH1797" s="237"/>
      <c r="AJ1797" s="238"/>
    </row>
    <row r="1798" spans="1:39" x14ac:dyDescent="0.25">
      <c r="AA1798" s="237"/>
      <c r="AB1798" s="237"/>
      <c r="AC1798" s="237"/>
      <c r="AD1798" s="237"/>
      <c r="AE1798" s="237"/>
      <c r="AF1798" s="237"/>
      <c r="AG1798" s="237"/>
      <c r="AH1798" s="237"/>
      <c r="AJ1798" s="238"/>
    </row>
    <row r="1799" spans="1:39" ht="12.75" x14ac:dyDescent="0.2">
      <c r="AL1799" s="226"/>
      <c r="AM1799" s="226"/>
    </row>
    <row r="1800" spans="1:39" ht="12.75" x14ac:dyDescent="0.2">
      <c r="A1800" s="236"/>
      <c r="B1800" s="236"/>
      <c r="C1800" s="236"/>
      <c r="D1800" s="236"/>
      <c r="E1800" s="237"/>
      <c r="G1800" s="237"/>
      <c r="H1800" s="237"/>
      <c r="I1800" s="237"/>
      <c r="K1800" s="237"/>
      <c r="N1800" s="237"/>
      <c r="O1800" s="237"/>
      <c r="P1800" s="237"/>
      <c r="Q1800" s="237"/>
      <c r="AL1800" s="226"/>
      <c r="AM1800" s="226"/>
    </row>
    <row r="1801" spans="1:39" x14ac:dyDescent="0.25">
      <c r="AA1801" s="237"/>
      <c r="AB1801" s="237"/>
      <c r="AC1801" s="237"/>
      <c r="AD1801" s="237"/>
      <c r="AE1801" s="237"/>
      <c r="AF1801" s="237"/>
      <c r="AG1801" s="237"/>
      <c r="AH1801" s="237"/>
      <c r="AJ1801" s="238"/>
    </row>
    <row r="1802" spans="1:39" x14ac:dyDescent="0.25">
      <c r="AA1802" s="237"/>
      <c r="AB1802" s="237"/>
      <c r="AC1802" s="237"/>
      <c r="AD1802" s="237"/>
      <c r="AE1802" s="237"/>
      <c r="AF1802" s="237"/>
      <c r="AG1802" s="237"/>
      <c r="AH1802" s="237"/>
      <c r="AJ1802" s="238"/>
    </row>
    <row r="1803" spans="1:39" ht="12.75" x14ac:dyDescent="0.2">
      <c r="AL1803" s="226"/>
      <c r="AM1803" s="226"/>
    </row>
    <row r="1804" spans="1:39" ht="12.75" x14ac:dyDescent="0.2">
      <c r="A1804" s="236"/>
      <c r="B1804" s="236"/>
      <c r="C1804" s="236"/>
      <c r="D1804" s="236"/>
      <c r="E1804" s="237"/>
      <c r="G1804" s="237"/>
      <c r="H1804" s="237"/>
      <c r="I1804" s="237"/>
      <c r="K1804" s="237"/>
      <c r="N1804" s="237"/>
      <c r="O1804" s="237"/>
      <c r="P1804" s="237"/>
      <c r="Q1804" s="237"/>
      <c r="AL1804" s="226"/>
      <c r="AM1804" s="226"/>
    </row>
    <row r="1805" spans="1:39" x14ac:dyDescent="0.25">
      <c r="AA1805" s="237"/>
      <c r="AB1805" s="237"/>
      <c r="AC1805" s="237"/>
      <c r="AD1805" s="237"/>
      <c r="AE1805" s="237"/>
      <c r="AF1805" s="237"/>
      <c r="AG1805" s="237"/>
      <c r="AH1805" s="237"/>
      <c r="AJ1805" s="238"/>
    </row>
    <row r="1806" spans="1:39" ht="12.75" x14ac:dyDescent="0.2">
      <c r="AL1806" s="226"/>
      <c r="AM1806" s="226"/>
    </row>
    <row r="1807" spans="1:39" ht="12.75" x14ac:dyDescent="0.2">
      <c r="A1807" s="236"/>
      <c r="B1807" s="236"/>
      <c r="C1807" s="236"/>
      <c r="D1807" s="236"/>
      <c r="E1807" s="237"/>
      <c r="G1807" s="237"/>
      <c r="H1807" s="237"/>
      <c r="I1807" s="237"/>
      <c r="K1807" s="237"/>
      <c r="N1807" s="237"/>
      <c r="O1807" s="237"/>
      <c r="P1807" s="237"/>
      <c r="Q1807" s="237"/>
      <c r="AL1807" s="226"/>
      <c r="AM1807" s="226"/>
    </row>
    <row r="1808" spans="1:39" x14ac:dyDescent="0.25">
      <c r="AA1808" s="237"/>
      <c r="AB1808" s="237"/>
      <c r="AC1808" s="237"/>
      <c r="AD1808" s="237"/>
      <c r="AE1808" s="237"/>
      <c r="AF1808" s="237"/>
      <c r="AG1808" s="237"/>
      <c r="AH1808" s="237"/>
      <c r="AJ1808" s="238"/>
    </row>
    <row r="1809" spans="1:39" ht="12.75" x14ac:dyDescent="0.2">
      <c r="AL1809" s="226"/>
      <c r="AM1809" s="226"/>
    </row>
    <row r="1810" spans="1:39" ht="12.75" x14ac:dyDescent="0.2">
      <c r="A1810" s="236"/>
      <c r="B1810" s="236"/>
      <c r="C1810" s="236"/>
      <c r="D1810" s="236"/>
      <c r="E1810" s="237"/>
      <c r="G1810" s="237"/>
      <c r="H1810" s="237"/>
      <c r="I1810" s="237"/>
      <c r="K1810" s="237"/>
      <c r="N1810" s="237"/>
      <c r="O1810" s="237"/>
      <c r="P1810" s="237"/>
      <c r="Q1810" s="237"/>
      <c r="AL1810" s="226"/>
      <c r="AM1810" s="226"/>
    </row>
    <row r="1811" spans="1:39" x14ac:dyDescent="0.25">
      <c r="AA1811" s="237"/>
      <c r="AB1811" s="237"/>
      <c r="AC1811" s="237"/>
      <c r="AD1811" s="237"/>
      <c r="AE1811" s="237"/>
      <c r="AF1811" s="237"/>
      <c r="AG1811" s="237"/>
      <c r="AH1811" s="237"/>
      <c r="AJ1811" s="238"/>
    </row>
    <row r="1812" spans="1:39" ht="12.75" x14ac:dyDescent="0.2">
      <c r="AL1812" s="226"/>
      <c r="AM1812" s="226"/>
    </row>
    <row r="1813" spans="1:39" ht="12.75" x14ac:dyDescent="0.2">
      <c r="A1813" s="236"/>
      <c r="B1813" s="236"/>
      <c r="C1813" s="236"/>
      <c r="D1813" s="236"/>
      <c r="E1813" s="237"/>
      <c r="G1813" s="237"/>
      <c r="H1813" s="237"/>
      <c r="I1813" s="237"/>
      <c r="K1813" s="237"/>
      <c r="N1813" s="237"/>
      <c r="O1813" s="237"/>
      <c r="P1813" s="237"/>
      <c r="Q1813" s="237"/>
      <c r="AL1813" s="226"/>
      <c r="AM1813" s="226"/>
    </row>
    <row r="1814" spans="1:39" x14ac:dyDescent="0.25">
      <c r="AA1814" s="237"/>
      <c r="AB1814" s="237"/>
      <c r="AC1814" s="237"/>
      <c r="AD1814" s="237"/>
      <c r="AE1814" s="237"/>
      <c r="AF1814" s="237"/>
      <c r="AG1814" s="237"/>
      <c r="AH1814" s="237"/>
      <c r="AJ1814" s="238"/>
    </row>
    <row r="1815" spans="1:39" x14ac:dyDescent="0.25">
      <c r="AA1815" s="237"/>
      <c r="AB1815" s="237"/>
      <c r="AC1815" s="237"/>
      <c r="AD1815" s="237"/>
      <c r="AE1815" s="237"/>
      <c r="AF1815" s="237"/>
      <c r="AG1815" s="237"/>
      <c r="AH1815" s="237"/>
      <c r="AJ1815" s="238"/>
    </row>
    <row r="1816" spans="1:39" x14ac:dyDescent="0.25">
      <c r="AA1816" s="237"/>
      <c r="AB1816" s="237"/>
      <c r="AC1816" s="237"/>
      <c r="AD1816" s="237"/>
      <c r="AE1816" s="237"/>
      <c r="AF1816" s="237"/>
      <c r="AG1816" s="237"/>
      <c r="AH1816" s="237"/>
      <c r="AJ1816" s="238"/>
    </row>
    <row r="1817" spans="1:39" ht="12.75" x14ac:dyDescent="0.2">
      <c r="AL1817" s="226"/>
      <c r="AM1817" s="226"/>
    </row>
    <row r="1818" spans="1:39" ht="12.75" x14ac:dyDescent="0.2">
      <c r="A1818" s="236"/>
      <c r="B1818" s="236"/>
      <c r="C1818" s="236"/>
      <c r="D1818" s="236"/>
      <c r="E1818" s="237"/>
      <c r="G1818" s="237"/>
      <c r="H1818" s="237"/>
      <c r="I1818" s="237"/>
      <c r="K1818" s="237"/>
      <c r="N1818" s="237"/>
      <c r="O1818" s="237"/>
      <c r="P1818" s="237"/>
      <c r="Q1818" s="237"/>
      <c r="AL1818" s="226"/>
      <c r="AM1818" s="226"/>
    </row>
    <row r="1819" spans="1:39" x14ac:dyDescent="0.25">
      <c r="AA1819" s="237"/>
      <c r="AB1819" s="237"/>
      <c r="AC1819" s="237"/>
      <c r="AD1819" s="237"/>
      <c r="AE1819" s="237"/>
      <c r="AF1819" s="237"/>
      <c r="AG1819" s="237"/>
      <c r="AH1819" s="237"/>
      <c r="AJ1819" s="238"/>
    </row>
    <row r="1820" spans="1:39" x14ac:dyDescent="0.25">
      <c r="AA1820" s="237"/>
      <c r="AB1820" s="237"/>
      <c r="AC1820" s="237"/>
      <c r="AD1820" s="237"/>
      <c r="AE1820" s="237"/>
      <c r="AF1820" s="237"/>
      <c r="AG1820" s="237"/>
      <c r="AH1820" s="237"/>
      <c r="AJ1820" s="238"/>
    </row>
    <row r="1821" spans="1:39" x14ac:dyDescent="0.25">
      <c r="AA1821" s="237"/>
      <c r="AB1821" s="237"/>
      <c r="AC1821" s="237"/>
      <c r="AD1821" s="237"/>
      <c r="AE1821" s="237"/>
      <c r="AF1821" s="237"/>
      <c r="AG1821" s="237"/>
      <c r="AH1821" s="237"/>
      <c r="AJ1821" s="238"/>
    </row>
    <row r="1822" spans="1:39" ht="12.75" x14ac:dyDescent="0.2">
      <c r="AL1822" s="226"/>
      <c r="AM1822" s="226"/>
    </row>
    <row r="1823" spans="1:39" ht="12.75" x14ac:dyDescent="0.2">
      <c r="A1823" s="236"/>
      <c r="B1823" s="236"/>
      <c r="C1823" s="236"/>
      <c r="D1823" s="236"/>
      <c r="E1823" s="237"/>
      <c r="G1823" s="237"/>
      <c r="H1823" s="237"/>
      <c r="I1823" s="237"/>
      <c r="K1823" s="237"/>
      <c r="N1823" s="237"/>
      <c r="O1823" s="237"/>
      <c r="P1823" s="237"/>
      <c r="Q1823" s="237"/>
      <c r="AL1823" s="226"/>
      <c r="AM1823" s="226"/>
    </row>
    <row r="1824" spans="1:39" x14ac:dyDescent="0.25">
      <c r="AA1824" s="237"/>
      <c r="AB1824" s="237"/>
      <c r="AC1824" s="237"/>
      <c r="AD1824" s="237"/>
      <c r="AE1824" s="237"/>
      <c r="AF1824" s="237"/>
      <c r="AG1824" s="237"/>
      <c r="AH1824" s="237"/>
      <c r="AJ1824" s="238"/>
    </row>
    <row r="1825" spans="1:39" x14ac:dyDescent="0.25">
      <c r="AA1825" s="237"/>
      <c r="AB1825" s="237"/>
      <c r="AC1825" s="237"/>
      <c r="AD1825" s="237"/>
      <c r="AE1825" s="237"/>
      <c r="AF1825" s="237"/>
      <c r="AG1825" s="237"/>
      <c r="AH1825" s="237"/>
      <c r="AJ1825" s="238"/>
    </row>
    <row r="1826" spans="1:39" x14ac:dyDescent="0.25">
      <c r="AA1826" s="237"/>
      <c r="AB1826" s="237"/>
      <c r="AC1826" s="237"/>
      <c r="AD1826" s="237"/>
      <c r="AE1826" s="237"/>
      <c r="AF1826" s="237"/>
      <c r="AG1826" s="237"/>
      <c r="AH1826" s="237"/>
      <c r="AJ1826" s="238"/>
    </row>
    <row r="1827" spans="1:39" ht="12.75" x14ac:dyDescent="0.2">
      <c r="AL1827" s="226"/>
      <c r="AM1827" s="226"/>
    </row>
    <row r="1828" spans="1:39" ht="12.75" x14ac:dyDescent="0.2">
      <c r="A1828" s="236"/>
      <c r="B1828" s="236"/>
      <c r="C1828" s="236"/>
      <c r="D1828" s="236"/>
      <c r="E1828" s="237"/>
      <c r="G1828" s="237"/>
      <c r="H1828" s="237"/>
      <c r="I1828" s="237"/>
      <c r="K1828" s="237"/>
      <c r="N1828" s="237"/>
      <c r="O1828" s="237"/>
      <c r="P1828" s="237"/>
      <c r="Q1828" s="237"/>
      <c r="AL1828" s="226"/>
      <c r="AM1828" s="226"/>
    </row>
    <row r="1829" spans="1:39" x14ac:dyDescent="0.25">
      <c r="AA1829" s="237"/>
      <c r="AB1829" s="237"/>
      <c r="AC1829" s="237"/>
      <c r="AD1829" s="237"/>
      <c r="AE1829" s="237"/>
      <c r="AF1829" s="237"/>
      <c r="AG1829" s="237"/>
      <c r="AH1829" s="237"/>
      <c r="AJ1829" s="238"/>
    </row>
    <row r="1830" spans="1:39" x14ac:dyDescent="0.25">
      <c r="AA1830" s="237"/>
      <c r="AB1830" s="237"/>
      <c r="AC1830" s="237"/>
      <c r="AD1830" s="237"/>
      <c r="AE1830" s="237"/>
      <c r="AF1830" s="237"/>
      <c r="AG1830" s="237"/>
      <c r="AH1830" s="237"/>
      <c r="AJ1830" s="238"/>
    </row>
    <row r="1831" spans="1:39" x14ac:dyDescent="0.25">
      <c r="AA1831" s="237"/>
      <c r="AB1831" s="237"/>
      <c r="AC1831" s="237"/>
      <c r="AD1831" s="237"/>
      <c r="AE1831" s="237"/>
      <c r="AF1831" s="237"/>
      <c r="AG1831" s="237"/>
      <c r="AH1831" s="237"/>
      <c r="AJ1831" s="238"/>
    </row>
    <row r="1832" spans="1:39" x14ac:dyDescent="0.25">
      <c r="AA1832" s="237"/>
      <c r="AB1832" s="237"/>
      <c r="AC1832" s="237"/>
      <c r="AD1832" s="237"/>
      <c r="AE1832" s="237"/>
      <c r="AF1832" s="237"/>
      <c r="AG1832" s="237"/>
      <c r="AH1832" s="237"/>
      <c r="AJ1832" s="238"/>
    </row>
    <row r="1833" spans="1:39" ht="12.75" x14ac:dyDescent="0.2">
      <c r="AL1833" s="226"/>
      <c r="AM1833" s="226"/>
    </row>
    <row r="1834" spans="1:39" ht="12.75" x14ac:dyDescent="0.2">
      <c r="A1834" s="236"/>
      <c r="B1834" s="236"/>
      <c r="C1834" s="236"/>
      <c r="D1834" s="236"/>
      <c r="E1834" s="237"/>
      <c r="G1834" s="237"/>
      <c r="H1834" s="237"/>
      <c r="I1834" s="237"/>
      <c r="K1834" s="237"/>
      <c r="N1834" s="237"/>
      <c r="O1834" s="237"/>
      <c r="P1834" s="237"/>
      <c r="Q1834" s="237"/>
      <c r="AL1834" s="226"/>
      <c r="AM1834" s="226"/>
    </row>
    <row r="1835" spans="1:39" x14ac:dyDescent="0.25">
      <c r="AA1835" s="237"/>
      <c r="AB1835" s="237"/>
      <c r="AC1835" s="237"/>
      <c r="AD1835" s="237"/>
      <c r="AE1835" s="237"/>
      <c r="AF1835" s="237"/>
      <c r="AG1835" s="237"/>
      <c r="AH1835" s="237"/>
      <c r="AJ1835" s="238"/>
    </row>
    <row r="1836" spans="1:39" ht="12.75" x14ac:dyDescent="0.2">
      <c r="AL1836" s="226"/>
      <c r="AM1836" s="226"/>
    </row>
    <row r="1837" spans="1:39" ht="12.75" x14ac:dyDescent="0.2">
      <c r="A1837" s="236"/>
      <c r="B1837" s="236"/>
      <c r="C1837" s="236"/>
      <c r="D1837" s="236"/>
      <c r="E1837" s="237"/>
      <c r="G1837" s="237"/>
      <c r="H1837" s="237"/>
      <c r="I1837" s="237"/>
      <c r="K1837" s="237"/>
      <c r="N1837" s="237"/>
      <c r="O1837" s="237"/>
      <c r="P1837" s="237"/>
      <c r="Q1837" s="237"/>
      <c r="AL1837" s="226"/>
      <c r="AM1837" s="226"/>
    </row>
    <row r="1838" spans="1:39" x14ac:dyDescent="0.25">
      <c r="AA1838" s="237"/>
      <c r="AB1838" s="237"/>
      <c r="AC1838" s="237"/>
      <c r="AD1838" s="237"/>
      <c r="AE1838" s="237"/>
      <c r="AF1838" s="237"/>
      <c r="AG1838" s="237"/>
      <c r="AH1838" s="237"/>
      <c r="AJ1838" s="238"/>
    </row>
    <row r="1839" spans="1:39" ht="12.75" x14ac:dyDescent="0.2">
      <c r="AL1839" s="226"/>
      <c r="AM1839" s="226"/>
    </row>
    <row r="1840" spans="1:39" ht="12.75" x14ac:dyDescent="0.2">
      <c r="A1840" s="236"/>
      <c r="B1840" s="236"/>
      <c r="C1840" s="236"/>
      <c r="D1840" s="236"/>
      <c r="E1840" s="237"/>
      <c r="G1840" s="237"/>
      <c r="H1840" s="237"/>
      <c r="I1840" s="237"/>
      <c r="K1840" s="237"/>
      <c r="N1840" s="237"/>
      <c r="O1840" s="237"/>
      <c r="P1840" s="237"/>
      <c r="Q1840" s="237"/>
      <c r="AL1840" s="226"/>
      <c r="AM1840" s="226"/>
    </row>
    <row r="1841" spans="1:39" x14ac:dyDescent="0.25">
      <c r="AA1841" s="237"/>
      <c r="AB1841" s="237"/>
      <c r="AC1841" s="237"/>
      <c r="AD1841" s="237"/>
      <c r="AE1841" s="237"/>
      <c r="AF1841" s="237"/>
      <c r="AG1841" s="237"/>
      <c r="AH1841" s="237"/>
      <c r="AJ1841" s="238"/>
    </row>
    <row r="1842" spans="1:39" x14ac:dyDescent="0.25">
      <c r="T1842" s="240"/>
      <c r="U1842" s="240"/>
      <c r="V1842" s="240"/>
      <c r="W1842" s="240"/>
      <c r="Y1842" s="240"/>
      <c r="Z1842" s="240"/>
      <c r="AA1842" s="241"/>
      <c r="AB1842" s="241"/>
      <c r="AC1842" s="241"/>
      <c r="AD1842" s="241"/>
      <c r="AE1842" s="241"/>
      <c r="AF1842" s="241"/>
      <c r="AG1842" s="241"/>
      <c r="AH1842" s="241"/>
      <c r="AJ1842" s="238"/>
    </row>
    <row r="1843" spans="1:39" ht="12.75" x14ac:dyDescent="0.2">
      <c r="AL1843" s="226"/>
      <c r="AM1843" s="226"/>
    </row>
    <row r="1844" spans="1:39" ht="12.75" x14ac:dyDescent="0.2">
      <c r="A1844" s="236"/>
      <c r="B1844" s="236"/>
      <c r="C1844" s="236"/>
      <c r="D1844" s="236"/>
      <c r="E1844" s="237"/>
      <c r="G1844" s="237"/>
      <c r="H1844" s="237"/>
      <c r="I1844" s="237"/>
      <c r="K1844" s="237"/>
      <c r="N1844" s="237"/>
      <c r="O1844" s="237"/>
      <c r="P1844" s="237"/>
      <c r="Q1844" s="237"/>
      <c r="AL1844" s="226"/>
      <c r="AM1844" s="226"/>
    </row>
    <row r="1845" spans="1:39" x14ac:dyDescent="0.25">
      <c r="AA1845" s="237"/>
      <c r="AB1845" s="237"/>
      <c r="AC1845" s="237"/>
      <c r="AD1845" s="237"/>
      <c r="AE1845" s="237"/>
      <c r="AF1845" s="237"/>
      <c r="AG1845" s="237"/>
      <c r="AH1845" s="237"/>
      <c r="AJ1845" s="238"/>
    </row>
    <row r="1846" spans="1:39" ht="12.75" x14ac:dyDescent="0.2">
      <c r="AL1846" s="226"/>
      <c r="AM1846" s="226"/>
    </row>
    <row r="1847" spans="1:39" ht="12.75" x14ac:dyDescent="0.2">
      <c r="A1847" s="236"/>
      <c r="B1847" s="236"/>
      <c r="C1847" s="236"/>
      <c r="D1847" s="236"/>
      <c r="E1847" s="237"/>
      <c r="G1847" s="237"/>
      <c r="H1847" s="237"/>
      <c r="I1847" s="237"/>
      <c r="K1847" s="237"/>
      <c r="N1847" s="237"/>
      <c r="O1847" s="237"/>
      <c r="P1847" s="237"/>
      <c r="Q1847" s="237"/>
      <c r="AL1847" s="226"/>
      <c r="AM1847" s="226"/>
    </row>
    <row r="1848" spans="1:39" x14ac:dyDescent="0.25">
      <c r="AA1848" s="237"/>
      <c r="AB1848" s="237"/>
      <c r="AC1848" s="237"/>
      <c r="AD1848" s="237"/>
      <c r="AE1848" s="237"/>
      <c r="AF1848" s="237"/>
      <c r="AG1848" s="237"/>
      <c r="AH1848" s="237"/>
      <c r="AJ1848" s="238"/>
    </row>
    <row r="1849" spans="1:39" x14ac:dyDescent="0.25">
      <c r="AA1849" s="237"/>
      <c r="AB1849" s="237"/>
      <c r="AC1849" s="237"/>
      <c r="AD1849" s="237"/>
      <c r="AE1849" s="237"/>
      <c r="AF1849" s="237"/>
      <c r="AG1849" s="237"/>
      <c r="AH1849" s="237"/>
      <c r="AJ1849" s="238"/>
    </row>
    <row r="1850" spans="1:39" x14ac:dyDescent="0.25">
      <c r="AA1850" s="237"/>
      <c r="AB1850" s="237"/>
      <c r="AC1850" s="237"/>
      <c r="AD1850" s="237"/>
      <c r="AE1850" s="237"/>
      <c r="AF1850" s="237"/>
      <c r="AG1850" s="237"/>
      <c r="AH1850" s="237"/>
      <c r="AJ1850" s="238"/>
    </row>
    <row r="1851" spans="1:39" ht="12.75" x14ac:dyDescent="0.2">
      <c r="AL1851" s="226"/>
      <c r="AM1851" s="226"/>
    </row>
    <row r="1852" spans="1:39" ht="12.75" x14ac:dyDescent="0.2">
      <c r="A1852" s="236"/>
      <c r="B1852" s="236"/>
      <c r="C1852" s="236"/>
      <c r="D1852" s="236"/>
      <c r="E1852" s="237"/>
      <c r="G1852" s="237"/>
      <c r="H1852" s="237"/>
      <c r="I1852" s="237"/>
      <c r="K1852" s="237"/>
      <c r="N1852" s="237"/>
      <c r="O1852" s="237"/>
      <c r="P1852" s="237"/>
      <c r="Q1852" s="237"/>
      <c r="AL1852" s="226"/>
      <c r="AM1852" s="226"/>
    </row>
    <row r="1853" spans="1:39" x14ac:dyDescent="0.25">
      <c r="AA1853" s="237"/>
      <c r="AB1853" s="237"/>
      <c r="AC1853" s="237"/>
      <c r="AD1853" s="237"/>
      <c r="AE1853" s="237"/>
      <c r="AF1853" s="237"/>
      <c r="AG1853" s="237"/>
      <c r="AH1853" s="237"/>
      <c r="AJ1853" s="238"/>
    </row>
    <row r="1854" spans="1:39" ht="12.75" x14ac:dyDescent="0.2">
      <c r="AL1854" s="226"/>
      <c r="AM1854" s="226"/>
    </row>
    <row r="1855" spans="1:39" ht="12.75" x14ac:dyDescent="0.2">
      <c r="A1855" s="236"/>
      <c r="B1855" s="236"/>
      <c r="C1855" s="236"/>
      <c r="D1855" s="236"/>
      <c r="E1855" s="237"/>
      <c r="G1855" s="237"/>
      <c r="H1855" s="237"/>
      <c r="I1855" s="237"/>
      <c r="K1855" s="237"/>
      <c r="N1855" s="237"/>
      <c r="O1855" s="237"/>
      <c r="P1855" s="237"/>
      <c r="Q1855" s="237"/>
      <c r="AL1855" s="226"/>
      <c r="AM1855" s="226"/>
    </row>
    <row r="1856" spans="1:39" x14ac:dyDescent="0.25">
      <c r="AA1856" s="237"/>
      <c r="AB1856" s="237"/>
      <c r="AC1856" s="237"/>
      <c r="AD1856" s="237"/>
      <c r="AE1856" s="237"/>
      <c r="AF1856" s="237"/>
      <c r="AG1856" s="237"/>
      <c r="AH1856" s="237"/>
      <c r="AJ1856" s="238"/>
    </row>
    <row r="1857" spans="1:39" ht="12.75" x14ac:dyDescent="0.2">
      <c r="AL1857" s="226"/>
      <c r="AM1857" s="226"/>
    </row>
    <row r="1858" spans="1:39" ht="12.75" x14ac:dyDescent="0.2">
      <c r="A1858" s="236"/>
      <c r="B1858" s="236"/>
      <c r="C1858" s="236"/>
      <c r="D1858" s="236"/>
      <c r="E1858" s="237"/>
      <c r="G1858" s="237"/>
      <c r="H1858" s="237"/>
      <c r="I1858" s="237"/>
      <c r="K1858" s="237"/>
      <c r="N1858" s="237"/>
      <c r="O1858" s="237"/>
      <c r="P1858" s="237"/>
      <c r="Q1858" s="237"/>
      <c r="AL1858" s="226"/>
      <c r="AM1858" s="226"/>
    </row>
    <row r="1859" spans="1:39" x14ac:dyDescent="0.25">
      <c r="AA1859" s="237"/>
      <c r="AB1859" s="237"/>
      <c r="AC1859" s="237"/>
      <c r="AD1859" s="237"/>
      <c r="AE1859" s="237"/>
      <c r="AF1859" s="237"/>
      <c r="AG1859" s="237"/>
      <c r="AH1859" s="237"/>
      <c r="AJ1859" s="238"/>
    </row>
    <row r="1860" spans="1:39" ht="12.75" x14ac:dyDescent="0.2">
      <c r="AL1860" s="226"/>
      <c r="AM1860" s="226"/>
    </row>
    <row r="1861" spans="1:39" ht="12.75" x14ac:dyDescent="0.2">
      <c r="A1861" s="236"/>
      <c r="B1861" s="236"/>
      <c r="C1861" s="236"/>
      <c r="D1861" s="236"/>
      <c r="E1861" s="237"/>
      <c r="G1861" s="237"/>
      <c r="H1861" s="237"/>
      <c r="I1861" s="237"/>
      <c r="K1861" s="237"/>
      <c r="N1861" s="237"/>
      <c r="O1861" s="237"/>
      <c r="P1861" s="237"/>
      <c r="Q1861" s="237"/>
      <c r="AL1861" s="226"/>
      <c r="AM1861" s="226"/>
    </row>
    <row r="1862" spans="1:39" x14ac:dyDescent="0.25">
      <c r="AA1862" s="237"/>
      <c r="AB1862" s="237"/>
      <c r="AC1862" s="237"/>
      <c r="AD1862" s="237"/>
      <c r="AE1862" s="237"/>
      <c r="AF1862" s="237"/>
      <c r="AG1862" s="237"/>
      <c r="AH1862" s="237"/>
      <c r="AJ1862" s="238"/>
    </row>
    <row r="1863" spans="1:39" ht="12.75" x14ac:dyDescent="0.2">
      <c r="AL1863" s="226"/>
      <c r="AM1863" s="226"/>
    </row>
    <row r="1864" spans="1:39" ht="12.75" x14ac:dyDescent="0.2">
      <c r="A1864" s="236"/>
      <c r="B1864" s="236"/>
      <c r="C1864" s="236"/>
      <c r="D1864" s="236"/>
      <c r="E1864" s="237"/>
      <c r="G1864" s="237"/>
      <c r="H1864" s="237"/>
      <c r="I1864" s="237"/>
      <c r="K1864" s="237"/>
      <c r="N1864" s="237"/>
      <c r="O1864" s="237"/>
      <c r="P1864" s="237"/>
      <c r="Q1864" s="237"/>
      <c r="AL1864" s="226"/>
      <c r="AM1864" s="226"/>
    </row>
    <row r="1865" spans="1:39" x14ac:dyDescent="0.25">
      <c r="AA1865" s="237"/>
      <c r="AB1865" s="237"/>
      <c r="AC1865" s="237"/>
      <c r="AD1865" s="237"/>
      <c r="AE1865" s="237"/>
      <c r="AF1865" s="237"/>
      <c r="AG1865" s="237"/>
      <c r="AH1865" s="237"/>
      <c r="AJ1865" s="238"/>
    </row>
    <row r="1866" spans="1:39" ht="12.75" x14ac:dyDescent="0.2">
      <c r="AL1866" s="226"/>
      <c r="AM1866" s="226"/>
    </row>
    <row r="1867" spans="1:39" ht="12.75" x14ac:dyDescent="0.2">
      <c r="A1867" s="236"/>
      <c r="B1867" s="236"/>
      <c r="C1867" s="236"/>
      <c r="D1867" s="236"/>
      <c r="E1867" s="237"/>
      <c r="G1867" s="237"/>
      <c r="H1867" s="237"/>
      <c r="I1867" s="237"/>
      <c r="K1867" s="237"/>
      <c r="N1867" s="237"/>
      <c r="O1867" s="237"/>
      <c r="P1867" s="237"/>
      <c r="Q1867" s="237"/>
      <c r="AL1867" s="226"/>
      <c r="AM1867" s="226"/>
    </row>
    <row r="1868" spans="1:39" x14ac:dyDescent="0.25">
      <c r="AA1868" s="237"/>
      <c r="AB1868" s="237"/>
      <c r="AC1868" s="237"/>
      <c r="AD1868" s="237"/>
      <c r="AE1868" s="237"/>
      <c r="AF1868" s="237"/>
      <c r="AG1868" s="237"/>
      <c r="AH1868" s="237"/>
      <c r="AJ1868" s="238"/>
    </row>
    <row r="1869" spans="1:39" ht="12.75" x14ac:dyDescent="0.2">
      <c r="AL1869" s="226"/>
      <c r="AM1869" s="226"/>
    </row>
    <row r="1870" spans="1:39" ht="12.75" x14ac:dyDescent="0.2">
      <c r="A1870" s="236"/>
      <c r="B1870" s="236"/>
      <c r="C1870" s="236"/>
      <c r="D1870" s="236"/>
      <c r="E1870" s="237"/>
      <c r="G1870" s="237"/>
      <c r="H1870" s="237"/>
      <c r="I1870" s="237"/>
      <c r="K1870" s="237"/>
      <c r="N1870" s="237"/>
      <c r="O1870" s="237"/>
      <c r="P1870" s="237"/>
      <c r="Q1870" s="237"/>
      <c r="AL1870" s="226"/>
      <c r="AM1870" s="226"/>
    </row>
    <row r="1871" spans="1:39" x14ac:dyDescent="0.25">
      <c r="AA1871" s="237"/>
      <c r="AB1871" s="237"/>
      <c r="AC1871" s="237"/>
      <c r="AD1871" s="237"/>
      <c r="AE1871" s="237"/>
      <c r="AF1871" s="237"/>
      <c r="AG1871" s="237"/>
      <c r="AH1871" s="237"/>
      <c r="AJ1871" s="238"/>
    </row>
    <row r="1872" spans="1:39" x14ac:dyDescent="0.25">
      <c r="AA1872" s="237"/>
      <c r="AB1872" s="237"/>
      <c r="AC1872" s="237"/>
      <c r="AD1872" s="237"/>
      <c r="AE1872" s="237"/>
      <c r="AF1872" s="237"/>
      <c r="AG1872" s="237"/>
      <c r="AH1872" s="237"/>
      <c r="AJ1872" s="238"/>
    </row>
    <row r="1873" spans="1:39" ht="12.75" x14ac:dyDescent="0.2">
      <c r="AL1873" s="226"/>
      <c r="AM1873" s="226"/>
    </row>
    <row r="1874" spans="1:39" ht="12.75" x14ac:dyDescent="0.2">
      <c r="A1874" s="236"/>
      <c r="B1874" s="236"/>
      <c r="C1874" s="236"/>
      <c r="D1874" s="236"/>
      <c r="E1874" s="237"/>
      <c r="G1874" s="237"/>
      <c r="H1874" s="237"/>
      <c r="I1874" s="237"/>
      <c r="K1874" s="237"/>
      <c r="N1874" s="237"/>
      <c r="O1874" s="237"/>
      <c r="P1874" s="237"/>
      <c r="Q1874" s="237"/>
      <c r="AL1874" s="226"/>
      <c r="AM1874" s="226"/>
    </row>
    <row r="1875" spans="1:39" x14ac:dyDescent="0.25">
      <c r="AA1875" s="237"/>
      <c r="AB1875" s="237"/>
      <c r="AC1875" s="237"/>
      <c r="AD1875" s="237"/>
      <c r="AE1875" s="237"/>
      <c r="AF1875" s="237"/>
      <c r="AG1875" s="237"/>
      <c r="AH1875" s="237"/>
      <c r="AJ1875" s="238"/>
    </row>
    <row r="1876" spans="1:39" ht="12.75" x14ac:dyDescent="0.2">
      <c r="AL1876" s="226"/>
      <c r="AM1876" s="226"/>
    </row>
    <row r="1877" spans="1:39" ht="12.75" x14ac:dyDescent="0.2">
      <c r="A1877" s="236"/>
      <c r="B1877" s="236"/>
      <c r="C1877" s="236"/>
      <c r="D1877" s="236"/>
      <c r="E1877" s="237"/>
      <c r="G1877" s="237"/>
      <c r="H1877" s="237"/>
      <c r="I1877" s="237"/>
      <c r="K1877" s="237"/>
      <c r="N1877" s="237"/>
      <c r="O1877" s="237"/>
      <c r="P1877" s="237"/>
      <c r="Q1877" s="237"/>
      <c r="AL1877" s="226"/>
      <c r="AM1877" s="226"/>
    </row>
    <row r="1878" spans="1:39" x14ac:dyDescent="0.25">
      <c r="AA1878" s="237"/>
      <c r="AB1878" s="237"/>
      <c r="AC1878" s="237"/>
      <c r="AD1878" s="237"/>
      <c r="AE1878" s="237"/>
      <c r="AF1878" s="237"/>
      <c r="AG1878" s="237"/>
      <c r="AH1878" s="237"/>
      <c r="AJ1878" s="238"/>
    </row>
    <row r="1879" spans="1:39" ht="12.75" x14ac:dyDescent="0.2">
      <c r="AL1879" s="226"/>
      <c r="AM1879" s="226"/>
    </row>
    <row r="1880" spans="1:39" ht="12.75" x14ac:dyDescent="0.2">
      <c r="A1880" s="236"/>
      <c r="B1880" s="236"/>
      <c r="C1880" s="236"/>
      <c r="D1880" s="236"/>
      <c r="E1880" s="237"/>
      <c r="G1880" s="237"/>
      <c r="H1880" s="237"/>
      <c r="I1880" s="237"/>
      <c r="K1880" s="237"/>
      <c r="N1880" s="237"/>
      <c r="O1880" s="237"/>
      <c r="P1880" s="237"/>
      <c r="Q1880" s="237"/>
      <c r="AL1880" s="226"/>
      <c r="AM1880" s="226"/>
    </row>
    <row r="1881" spans="1:39" x14ac:dyDescent="0.25">
      <c r="AA1881" s="237"/>
      <c r="AB1881" s="237"/>
      <c r="AC1881" s="237"/>
      <c r="AD1881" s="237"/>
      <c r="AE1881" s="237"/>
      <c r="AF1881" s="237"/>
      <c r="AG1881" s="237"/>
      <c r="AH1881" s="237"/>
      <c r="AJ1881" s="238"/>
    </row>
    <row r="1882" spans="1:39" x14ac:dyDescent="0.25">
      <c r="AA1882" s="237"/>
      <c r="AB1882" s="237"/>
      <c r="AC1882" s="237"/>
      <c r="AD1882" s="237"/>
      <c r="AE1882" s="237"/>
      <c r="AF1882" s="237"/>
      <c r="AG1882" s="237"/>
      <c r="AH1882" s="237"/>
      <c r="AJ1882" s="238"/>
    </row>
    <row r="1883" spans="1:39" x14ac:dyDescent="0.25">
      <c r="AA1883" s="237"/>
      <c r="AB1883" s="237"/>
      <c r="AC1883" s="237"/>
      <c r="AD1883" s="237"/>
      <c r="AE1883" s="237"/>
      <c r="AF1883" s="237"/>
      <c r="AG1883" s="237"/>
      <c r="AH1883" s="237"/>
      <c r="AJ1883" s="238"/>
    </row>
    <row r="1884" spans="1:39" x14ac:dyDescent="0.25">
      <c r="AA1884" s="237"/>
      <c r="AB1884" s="237"/>
      <c r="AC1884" s="237"/>
      <c r="AD1884" s="237"/>
      <c r="AE1884" s="237"/>
      <c r="AF1884" s="237"/>
      <c r="AG1884" s="237"/>
      <c r="AH1884" s="237"/>
      <c r="AJ1884" s="238"/>
    </row>
    <row r="1885" spans="1:39" x14ac:dyDescent="0.25">
      <c r="AA1885" s="237"/>
      <c r="AB1885" s="237"/>
      <c r="AC1885" s="237"/>
      <c r="AD1885" s="237"/>
      <c r="AE1885" s="237"/>
      <c r="AF1885" s="237"/>
      <c r="AG1885" s="237"/>
      <c r="AH1885" s="237"/>
      <c r="AJ1885" s="238"/>
    </row>
    <row r="1886" spans="1:39" x14ac:dyDescent="0.25">
      <c r="AA1886" s="237"/>
      <c r="AB1886" s="237"/>
      <c r="AC1886" s="237"/>
      <c r="AD1886" s="237"/>
      <c r="AE1886" s="237"/>
      <c r="AF1886" s="237"/>
      <c r="AG1886" s="237"/>
      <c r="AH1886" s="237"/>
      <c r="AJ1886" s="238"/>
    </row>
    <row r="1887" spans="1:39" x14ac:dyDescent="0.25">
      <c r="AA1887" s="237"/>
      <c r="AB1887" s="237"/>
      <c r="AC1887" s="237"/>
      <c r="AD1887" s="237"/>
      <c r="AE1887" s="237"/>
      <c r="AF1887" s="237"/>
      <c r="AG1887" s="237"/>
      <c r="AH1887" s="237"/>
      <c r="AJ1887" s="238"/>
    </row>
    <row r="1888" spans="1:39" x14ac:dyDescent="0.25">
      <c r="AA1888" s="237"/>
      <c r="AB1888" s="237"/>
      <c r="AC1888" s="237"/>
      <c r="AD1888" s="237"/>
      <c r="AE1888" s="237"/>
      <c r="AF1888" s="237"/>
      <c r="AG1888" s="237"/>
      <c r="AH1888" s="237"/>
      <c r="AJ1888" s="238"/>
    </row>
    <row r="1889" spans="1:39" x14ac:dyDescent="0.25">
      <c r="AA1889" s="237"/>
      <c r="AB1889" s="237"/>
      <c r="AC1889" s="237"/>
      <c r="AD1889" s="237"/>
      <c r="AE1889" s="237"/>
      <c r="AF1889" s="237"/>
      <c r="AG1889" s="237"/>
      <c r="AH1889" s="237"/>
      <c r="AJ1889" s="238"/>
    </row>
    <row r="1890" spans="1:39" x14ac:dyDescent="0.25">
      <c r="AA1890" s="237"/>
      <c r="AB1890" s="237"/>
      <c r="AC1890" s="237"/>
      <c r="AD1890" s="237"/>
      <c r="AE1890" s="237"/>
      <c r="AF1890" s="237"/>
      <c r="AG1890" s="237"/>
      <c r="AH1890" s="237"/>
      <c r="AJ1890" s="238"/>
    </row>
    <row r="1891" spans="1:39" x14ac:dyDescent="0.25">
      <c r="AA1891" s="237"/>
      <c r="AB1891" s="237"/>
      <c r="AC1891" s="237"/>
      <c r="AD1891" s="237"/>
      <c r="AE1891" s="237"/>
      <c r="AF1891" s="237"/>
      <c r="AG1891" s="237"/>
      <c r="AH1891" s="237"/>
      <c r="AJ1891" s="238"/>
    </row>
    <row r="1892" spans="1:39" x14ac:dyDescent="0.25">
      <c r="AA1892" s="237"/>
      <c r="AB1892" s="237"/>
      <c r="AC1892" s="237"/>
      <c r="AD1892" s="237"/>
      <c r="AE1892" s="237"/>
      <c r="AF1892" s="237"/>
      <c r="AG1892" s="237"/>
      <c r="AH1892" s="237"/>
      <c r="AJ1892" s="238"/>
    </row>
    <row r="1893" spans="1:39" x14ac:dyDescent="0.25">
      <c r="AA1893" s="237"/>
      <c r="AB1893" s="237"/>
      <c r="AC1893" s="237"/>
      <c r="AD1893" s="237"/>
      <c r="AE1893" s="237"/>
      <c r="AF1893" s="237"/>
      <c r="AG1893" s="237"/>
      <c r="AH1893" s="237"/>
      <c r="AJ1893" s="238"/>
    </row>
    <row r="1894" spans="1:39" ht="12.75" x14ac:dyDescent="0.2">
      <c r="AL1894" s="226"/>
      <c r="AM1894" s="226"/>
    </row>
    <row r="1895" spans="1:39" ht="12.75" x14ac:dyDescent="0.2">
      <c r="A1895" s="236"/>
      <c r="B1895" s="236"/>
      <c r="C1895" s="236"/>
      <c r="D1895" s="236"/>
      <c r="E1895" s="237"/>
      <c r="G1895" s="237"/>
      <c r="H1895" s="237"/>
      <c r="I1895" s="237"/>
      <c r="K1895" s="237"/>
      <c r="N1895" s="237"/>
      <c r="O1895" s="237"/>
      <c r="P1895" s="237"/>
      <c r="Q1895" s="237"/>
      <c r="AL1895" s="226"/>
      <c r="AM1895" s="226"/>
    </row>
    <row r="1896" spans="1:39" x14ac:dyDescent="0.25">
      <c r="AA1896" s="237"/>
      <c r="AB1896" s="237"/>
      <c r="AC1896" s="237"/>
      <c r="AD1896" s="237"/>
      <c r="AE1896" s="237"/>
      <c r="AF1896" s="237"/>
      <c r="AG1896" s="237"/>
      <c r="AH1896" s="237"/>
      <c r="AJ1896" s="238"/>
    </row>
    <row r="1897" spans="1:39" x14ac:dyDescent="0.25">
      <c r="AA1897" s="237"/>
      <c r="AB1897" s="237"/>
      <c r="AC1897" s="237"/>
      <c r="AD1897" s="237"/>
      <c r="AE1897" s="237"/>
      <c r="AF1897" s="237"/>
      <c r="AG1897" s="237"/>
      <c r="AH1897" s="237"/>
      <c r="AJ1897" s="238"/>
    </row>
    <row r="1898" spans="1:39" x14ac:dyDescent="0.25">
      <c r="AA1898" s="237"/>
      <c r="AB1898" s="237"/>
      <c r="AC1898" s="237"/>
      <c r="AD1898" s="237"/>
      <c r="AE1898" s="237"/>
      <c r="AF1898" s="237"/>
      <c r="AG1898" s="237"/>
      <c r="AH1898" s="237"/>
      <c r="AJ1898" s="238"/>
    </row>
    <row r="1899" spans="1:39" x14ac:dyDescent="0.25">
      <c r="AA1899" s="237"/>
      <c r="AB1899" s="237"/>
      <c r="AC1899" s="237"/>
      <c r="AD1899" s="237"/>
      <c r="AE1899" s="237"/>
      <c r="AF1899" s="237"/>
      <c r="AG1899" s="237"/>
      <c r="AH1899" s="237"/>
      <c r="AJ1899" s="238"/>
    </row>
    <row r="1900" spans="1:39" x14ac:dyDescent="0.25">
      <c r="AA1900" s="237"/>
      <c r="AB1900" s="237"/>
      <c r="AC1900" s="237"/>
      <c r="AD1900" s="237"/>
      <c r="AE1900" s="237"/>
      <c r="AF1900" s="237"/>
      <c r="AG1900" s="237"/>
      <c r="AH1900" s="237"/>
      <c r="AJ1900" s="238"/>
    </row>
    <row r="1901" spans="1:39" x14ac:dyDescent="0.25">
      <c r="AA1901" s="237"/>
      <c r="AB1901" s="237"/>
      <c r="AC1901" s="237"/>
      <c r="AD1901" s="237"/>
      <c r="AE1901" s="237"/>
      <c r="AF1901" s="237"/>
      <c r="AG1901" s="237"/>
      <c r="AH1901" s="237"/>
      <c r="AJ1901" s="238"/>
    </row>
    <row r="1902" spans="1:39" x14ac:dyDescent="0.25">
      <c r="AA1902" s="237"/>
      <c r="AB1902" s="237"/>
      <c r="AC1902" s="237"/>
      <c r="AD1902" s="237"/>
      <c r="AE1902" s="237"/>
      <c r="AF1902" s="237"/>
      <c r="AG1902" s="237"/>
      <c r="AH1902" s="237"/>
      <c r="AJ1902" s="238"/>
    </row>
    <row r="1903" spans="1:39" x14ac:dyDescent="0.25">
      <c r="AA1903" s="237"/>
      <c r="AB1903" s="237"/>
      <c r="AC1903" s="237"/>
      <c r="AD1903" s="237"/>
      <c r="AE1903" s="237"/>
      <c r="AF1903" s="237"/>
      <c r="AG1903" s="237"/>
      <c r="AH1903" s="237"/>
      <c r="AJ1903" s="238"/>
    </row>
    <row r="1904" spans="1:39" x14ac:dyDescent="0.25">
      <c r="AA1904" s="237"/>
      <c r="AB1904" s="237"/>
      <c r="AC1904" s="237"/>
      <c r="AD1904" s="237"/>
      <c r="AE1904" s="237"/>
      <c r="AF1904" s="237"/>
      <c r="AG1904" s="237"/>
      <c r="AH1904" s="237"/>
      <c r="AJ1904" s="238"/>
    </row>
    <row r="1905" spans="1:39" x14ac:dyDescent="0.25">
      <c r="AA1905" s="237"/>
      <c r="AB1905" s="237"/>
      <c r="AC1905" s="237"/>
      <c r="AD1905" s="237"/>
      <c r="AE1905" s="237"/>
      <c r="AF1905" s="237"/>
      <c r="AG1905" s="237"/>
      <c r="AH1905" s="237"/>
      <c r="AJ1905" s="238"/>
    </row>
    <row r="1906" spans="1:39" x14ac:dyDescent="0.25">
      <c r="AA1906" s="237"/>
      <c r="AB1906" s="237"/>
      <c r="AC1906" s="237"/>
      <c r="AD1906" s="237"/>
      <c r="AE1906" s="237"/>
      <c r="AF1906" s="237"/>
      <c r="AG1906" s="237"/>
      <c r="AH1906" s="237"/>
      <c r="AJ1906" s="238"/>
    </row>
    <row r="1907" spans="1:39" x14ac:dyDescent="0.25">
      <c r="AA1907" s="237"/>
      <c r="AB1907" s="237"/>
      <c r="AC1907" s="237"/>
      <c r="AD1907" s="237"/>
      <c r="AE1907" s="237"/>
      <c r="AF1907" s="237"/>
      <c r="AG1907" s="237"/>
      <c r="AH1907" s="237"/>
      <c r="AJ1907" s="238"/>
    </row>
    <row r="1908" spans="1:39" x14ac:dyDescent="0.25">
      <c r="AA1908" s="237"/>
      <c r="AB1908" s="237"/>
      <c r="AC1908" s="237"/>
      <c r="AD1908" s="237"/>
      <c r="AE1908" s="237"/>
      <c r="AF1908" s="237"/>
      <c r="AG1908" s="237"/>
      <c r="AH1908" s="237"/>
      <c r="AJ1908" s="238"/>
    </row>
    <row r="1909" spans="1:39" ht="12.75" x14ac:dyDescent="0.2">
      <c r="AL1909" s="226"/>
      <c r="AM1909" s="226"/>
    </row>
    <row r="1910" spans="1:39" ht="12.75" x14ac:dyDescent="0.2">
      <c r="A1910" s="236"/>
      <c r="B1910" s="236"/>
      <c r="C1910" s="236"/>
      <c r="D1910" s="236"/>
      <c r="E1910" s="237"/>
      <c r="G1910" s="237"/>
      <c r="H1910" s="237"/>
      <c r="I1910" s="237"/>
      <c r="K1910" s="237"/>
      <c r="N1910" s="237"/>
      <c r="O1910" s="237"/>
      <c r="P1910" s="237"/>
      <c r="Q1910" s="237"/>
      <c r="AL1910" s="226"/>
      <c r="AM1910" s="226"/>
    </row>
    <row r="1911" spans="1:39" x14ac:dyDescent="0.25">
      <c r="AA1911" s="237"/>
      <c r="AB1911" s="237"/>
      <c r="AC1911" s="237"/>
      <c r="AD1911" s="237"/>
      <c r="AE1911" s="237"/>
      <c r="AF1911" s="237"/>
      <c r="AG1911" s="237"/>
      <c r="AH1911" s="237"/>
      <c r="AJ1911" s="238"/>
    </row>
    <row r="1912" spans="1:39" x14ac:dyDescent="0.25">
      <c r="AA1912" s="237"/>
      <c r="AB1912" s="237"/>
      <c r="AC1912" s="237"/>
      <c r="AD1912" s="237"/>
      <c r="AE1912" s="237"/>
      <c r="AF1912" s="237"/>
      <c r="AG1912" s="237"/>
      <c r="AH1912" s="237"/>
      <c r="AJ1912" s="238"/>
    </row>
    <row r="1913" spans="1:39" x14ac:dyDescent="0.25">
      <c r="AA1913" s="237"/>
      <c r="AB1913" s="237"/>
      <c r="AC1913" s="237"/>
      <c r="AD1913" s="237"/>
      <c r="AE1913" s="237"/>
      <c r="AF1913" s="237"/>
      <c r="AG1913" s="237"/>
      <c r="AH1913" s="237"/>
      <c r="AJ1913" s="238"/>
    </row>
    <row r="1914" spans="1:39" x14ac:dyDescent="0.25">
      <c r="AA1914" s="237"/>
      <c r="AB1914" s="237"/>
      <c r="AC1914" s="237"/>
      <c r="AD1914" s="237"/>
      <c r="AE1914" s="237"/>
      <c r="AF1914" s="237"/>
      <c r="AG1914" s="237"/>
      <c r="AH1914" s="237"/>
      <c r="AJ1914" s="238"/>
    </row>
    <row r="1915" spans="1:39" x14ac:dyDescent="0.25">
      <c r="AA1915" s="237"/>
      <c r="AB1915" s="237"/>
      <c r="AC1915" s="237"/>
      <c r="AD1915" s="237"/>
      <c r="AE1915" s="237"/>
      <c r="AF1915" s="237"/>
      <c r="AG1915" s="237"/>
      <c r="AH1915" s="237"/>
      <c r="AJ1915" s="238"/>
    </row>
    <row r="1916" spans="1:39" ht="12.75" x14ac:dyDescent="0.2">
      <c r="AL1916" s="226"/>
      <c r="AM1916" s="226"/>
    </row>
    <row r="1917" spans="1:39" ht="12.75" x14ac:dyDescent="0.2">
      <c r="A1917" s="236"/>
      <c r="B1917" s="236"/>
      <c r="C1917" s="236"/>
      <c r="D1917" s="236"/>
      <c r="E1917" s="237"/>
      <c r="G1917" s="237"/>
      <c r="H1917" s="237"/>
      <c r="I1917" s="237"/>
      <c r="K1917" s="237"/>
      <c r="N1917" s="237"/>
      <c r="O1917" s="237"/>
      <c r="P1917" s="237"/>
      <c r="Q1917" s="237"/>
      <c r="AL1917" s="226"/>
      <c r="AM1917" s="226"/>
    </row>
    <row r="1918" spans="1:39" x14ac:dyDescent="0.25">
      <c r="AA1918" s="237"/>
      <c r="AB1918" s="237"/>
      <c r="AC1918" s="237"/>
      <c r="AD1918" s="237"/>
      <c r="AE1918" s="237"/>
      <c r="AF1918" s="237"/>
      <c r="AG1918" s="237"/>
      <c r="AH1918" s="237"/>
      <c r="AJ1918" s="238"/>
    </row>
    <row r="1919" spans="1:39" x14ac:dyDescent="0.25">
      <c r="AA1919" s="237"/>
      <c r="AB1919" s="237"/>
      <c r="AC1919" s="237"/>
      <c r="AD1919" s="237"/>
      <c r="AE1919" s="237"/>
      <c r="AF1919" s="237"/>
      <c r="AG1919" s="237"/>
      <c r="AH1919" s="237"/>
      <c r="AJ1919" s="238"/>
    </row>
    <row r="1920" spans="1:39" x14ac:dyDescent="0.25">
      <c r="AA1920" s="237"/>
      <c r="AB1920" s="237"/>
      <c r="AC1920" s="237"/>
      <c r="AD1920" s="237"/>
      <c r="AE1920" s="237"/>
      <c r="AF1920" s="237"/>
      <c r="AG1920" s="237"/>
      <c r="AH1920" s="237"/>
      <c r="AJ1920" s="238"/>
    </row>
    <row r="1921" spans="1:39" x14ac:dyDescent="0.25">
      <c r="AA1921" s="237"/>
      <c r="AB1921" s="237"/>
      <c r="AC1921" s="237"/>
      <c r="AD1921" s="237"/>
      <c r="AE1921" s="237"/>
      <c r="AF1921" s="237"/>
      <c r="AG1921" s="237"/>
      <c r="AH1921" s="237"/>
      <c r="AJ1921" s="238"/>
    </row>
    <row r="1922" spans="1:39" x14ac:dyDescent="0.25">
      <c r="AA1922" s="237"/>
      <c r="AB1922" s="237"/>
      <c r="AC1922" s="237"/>
      <c r="AD1922" s="237"/>
      <c r="AE1922" s="237"/>
      <c r="AF1922" s="237"/>
      <c r="AG1922" s="237"/>
      <c r="AH1922" s="237"/>
      <c r="AJ1922" s="238"/>
    </row>
    <row r="1923" spans="1:39" x14ac:dyDescent="0.25">
      <c r="AA1923" s="237"/>
      <c r="AB1923" s="237"/>
      <c r="AC1923" s="237"/>
      <c r="AD1923" s="237"/>
      <c r="AE1923" s="237"/>
      <c r="AF1923" s="237"/>
      <c r="AG1923" s="237"/>
      <c r="AH1923" s="237"/>
      <c r="AJ1923" s="238"/>
    </row>
    <row r="1924" spans="1:39" ht="12.75" x14ac:dyDescent="0.2">
      <c r="AL1924" s="226"/>
      <c r="AM1924" s="226"/>
    </row>
    <row r="1925" spans="1:39" ht="12.75" x14ac:dyDescent="0.2">
      <c r="A1925" s="236"/>
      <c r="B1925" s="236"/>
      <c r="C1925" s="236"/>
      <c r="D1925" s="236"/>
      <c r="E1925" s="237"/>
      <c r="G1925" s="237"/>
      <c r="H1925" s="237"/>
      <c r="I1925" s="237"/>
      <c r="K1925" s="237"/>
      <c r="N1925" s="237"/>
      <c r="O1925" s="237"/>
      <c r="P1925" s="237"/>
      <c r="Q1925" s="237"/>
      <c r="AL1925" s="226"/>
      <c r="AM1925" s="226"/>
    </row>
    <row r="1926" spans="1:39" x14ac:dyDescent="0.25">
      <c r="AA1926" s="237"/>
      <c r="AB1926" s="237"/>
      <c r="AC1926" s="237"/>
      <c r="AD1926" s="237"/>
      <c r="AE1926" s="237"/>
      <c r="AF1926" s="237"/>
      <c r="AG1926" s="237"/>
      <c r="AH1926" s="237"/>
      <c r="AJ1926" s="238"/>
    </row>
    <row r="1927" spans="1:39" x14ac:dyDescent="0.25">
      <c r="AA1927" s="237"/>
      <c r="AB1927" s="237"/>
      <c r="AC1927" s="237"/>
      <c r="AD1927" s="237"/>
      <c r="AE1927" s="237"/>
      <c r="AF1927" s="237"/>
      <c r="AG1927" s="237"/>
      <c r="AH1927" s="237"/>
      <c r="AJ1927" s="238"/>
    </row>
    <row r="1928" spans="1:39" x14ac:dyDescent="0.25">
      <c r="AA1928" s="237"/>
      <c r="AB1928" s="237"/>
      <c r="AC1928" s="237"/>
      <c r="AD1928" s="237"/>
      <c r="AE1928" s="237"/>
      <c r="AF1928" s="237"/>
      <c r="AG1928" s="237"/>
      <c r="AH1928" s="237"/>
      <c r="AJ1928" s="238"/>
    </row>
    <row r="1929" spans="1:39" x14ac:dyDescent="0.25">
      <c r="AA1929" s="237"/>
      <c r="AB1929" s="237"/>
      <c r="AC1929" s="237"/>
      <c r="AD1929" s="237"/>
      <c r="AE1929" s="237"/>
      <c r="AF1929" s="237"/>
      <c r="AG1929" s="237"/>
      <c r="AH1929" s="237"/>
      <c r="AJ1929" s="238"/>
    </row>
    <row r="1930" spans="1:39" ht="12.75" x14ac:dyDescent="0.2">
      <c r="AL1930" s="226"/>
      <c r="AM1930" s="226"/>
    </row>
    <row r="1931" spans="1:39" ht="12.75" x14ac:dyDescent="0.2">
      <c r="A1931" s="236"/>
      <c r="B1931" s="236"/>
      <c r="C1931" s="236"/>
      <c r="D1931" s="236"/>
      <c r="E1931" s="237"/>
      <c r="G1931" s="237"/>
      <c r="H1931" s="237"/>
      <c r="I1931" s="237"/>
      <c r="K1931" s="237"/>
      <c r="N1931" s="237"/>
      <c r="O1931" s="237"/>
      <c r="P1931" s="237"/>
      <c r="Q1931" s="237"/>
      <c r="AL1931" s="226"/>
      <c r="AM1931" s="226"/>
    </row>
    <row r="1932" spans="1:39" x14ac:dyDescent="0.25">
      <c r="T1932" s="240"/>
      <c r="U1932" s="240"/>
      <c r="V1932" s="240"/>
      <c r="W1932" s="240"/>
      <c r="Y1932" s="240"/>
      <c r="Z1932" s="240"/>
      <c r="AA1932" s="241"/>
      <c r="AB1932" s="241"/>
      <c r="AC1932" s="241"/>
      <c r="AD1932" s="241"/>
      <c r="AE1932" s="241"/>
      <c r="AF1932" s="241"/>
      <c r="AG1932" s="241"/>
      <c r="AH1932" s="241"/>
      <c r="AJ1932" s="238"/>
    </row>
    <row r="1933" spans="1:39" ht="12.75" x14ac:dyDescent="0.2">
      <c r="AL1933" s="226"/>
      <c r="AM1933" s="226"/>
    </row>
    <row r="1934" spans="1:39" ht="12.75" x14ac:dyDescent="0.2">
      <c r="A1934" s="236"/>
      <c r="B1934" s="236"/>
      <c r="C1934" s="236"/>
      <c r="D1934" s="236"/>
      <c r="E1934" s="237"/>
      <c r="G1934" s="237"/>
      <c r="H1934" s="237"/>
      <c r="I1934" s="237"/>
      <c r="K1934" s="237"/>
      <c r="N1934" s="237"/>
      <c r="O1934" s="237"/>
      <c r="P1934" s="237"/>
      <c r="Q1934" s="237"/>
      <c r="AL1934" s="226"/>
      <c r="AM1934" s="226"/>
    </row>
    <row r="1935" spans="1:39" x14ac:dyDescent="0.25">
      <c r="AA1935" s="237"/>
      <c r="AB1935" s="237"/>
      <c r="AC1935" s="237"/>
      <c r="AD1935" s="237"/>
      <c r="AE1935" s="237"/>
      <c r="AF1935" s="237"/>
      <c r="AG1935" s="237"/>
      <c r="AH1935" s="237"/>
      <c r="AJ1935" s="238"/>
    </row>
    <row r="1936" spans="1:39" ht="12.75" x14ac:dyDescent="0.2">
      <c r="AL1936" s="226"/>
      <c r="AM1936" s="226"/>
    </row>
    <row r="1937" spans="1:39" ht="12.75" x14ac:dyDescent="0.2">
      <c r="A1937" s="236"/>
      <c r="B1937" s="236"/>
      <c r="C1937" s="236"/>
      <c r="D1937" s="236"/>
      <c r="E1937" s="237"/>
      <c r="G1937" s="237"/>
      <c r="H1937" s="237"/>
      <c r="I1937" s="237"/>
      <c r="K1937" s="237"/>
      <c r="N1937" s="237"/>
      <c r="O1937" s="237"/>
      <c r="P1937" s="237"/>
      <c r="Q1937" s="237"/>
      <c r="AL1937" s="226"/>
      <c r="AM1937" s="226"/>
    </row>
    <row r="1938" spans="1:39" x14ac:dyDescent="0.25">
      <c r="AA1938" s="237"/>
      <c r="AB1938" s="237"/>
      <c r="AC1938" s="237"/>
      <c r="AD1938" s="237"/>
      <c r="AE1938" s="237"/>
      <c r="AF1938" s="237"/>
      <c r="AG1938" s="237"/>
      <c r="AH1938" s="237"/>
      <c r="AJ1938" s="238"/>
    </row>
    <row r="1939" spans="1:39" x14ac:dyDescent="0.25">
      <c r="AA1939" s="237"/>
      <c r="AB1939" s="237"/>
      <c r="AC1939" s="237"/>
      <c r="AD1939" s="237"/>
      <c r="AE1939" s="237"/>
      <c r="AF1939" s="237"/>
      <c r="AG1939" s="237"/>
      <c r="AH1939" s="237"/>
      <c r="AJ1939" s="238"/>
    </row>
    <row r="1940" spans="1:39" x14ac:dyDescent="0.25">
      <c r="AA1940" s="237"/>
      <c r="AB1940" s="237"/>
      <c r="AC1940" s="237"/>
      <c r="AD1940" s="237"/>
      <c r="AE1940" s="237"/>
      <c r="AF1940" s="237"/>
      <c r="AG1940" s="237"/>
      <c r="AH1940" s="237"/>
      <c r="AJ1940" s="238"/>
    </row>
    <row r="1941" spans="1:39" x14ac:dyDescent="0.25">
      <c r="AA1941" s="237"/>
      <c r="AB1941" s="237"/>
      <c r="AC1941" s="237"/>
      <c r="AD1941" s="237"/>
      <c r="AE1941" s="237"/>
      <c r="AF1941" s="237"/>
      <c r="AG1941" s="237"/>
      <c r="AH1941" s="237"/>
      <c r="AJ1941" s="238"/>
    </row>
    <row r="1942" spans="1:39" x14ac:dyDescent="0.25">
      <c r="AA1942" s="237"/>
      <c r="AB1942" s="237"/>
      <c r="AC1942" s="237"/>
      <c r="AD1942" s="237"/>
      <c r="AE1942" s="237"/>
      <c r="AF1942" s="237"/>
      <c r="AG1942" s="237"/>
      <c r="AH1942" s="237"/>
      <c r="AJ1942" s="238"/>
    </row>
    <row r="1943" spans="1:39" x14ac:dyDescent="0.25">
      <c r="AA1943" s="237"/>
      <c r="AB1943" s="237"/>
      <c r="AC1943" s="237"/>
      <c r="AD1943" s="237"/>
      <c r="AE1943" s="237"/>
      <c r="AF1943" s="237"/>
      <c r="AG1943" s="237"/>
      <c r="AH1943" s="237"/>
      <c r="AJ1943" s="238"/>
    </row>
    <row r="1944" spans="1:39" x14ac:dyDescent="0.25">
      <c r="AA1944" s="237"/>
      <c r="AB1944" s="237"/>
      <c r="AC1944" s="237"/>
      <c r="AD1944" s="237"/>
      <c r="AE1944" s="237"/>
      <c r="AF1944" s="237"/>
      <c r="AG1944" s="237"/>
      <c r="AH1944" s="237"/>
      <c r="AJ1944" s="238"/>
    </row>
    <row r="1945" spans="1:39" ht="12.75" x14ac:dyDescent="0.2">
      <c r="AL1945" s="226"/>
      <c r="AM1945" s="226"/>
    </row>
    <row r="1946" spans="1:39" ht="12.75" x14ac:dyDescent="0.2">
      <c r="A1946" s="236"/>
      <c r="B1946" s="236"/>
      <c r="C1946" s="236"/>
      <c r="D1946" s="236"/>
      <c r="E1946" s="237"/>
      <c r="G1946" s="237"/>
      <c r="H1946" s="237"/>
      <c r="I1946" s="237"/>
      <c r="K1946" s="237"/>
      <c r="N1946" s="237"/>
      <c r="O1946" s="237"/>
      <c r="P1946" s="237"/>
      <c r="Q1946" s="237"/>
      <c r="AL1946" s="226"/>
      <c r="AM1946" s="226"/>
    </row>
    <row r="1947" spans="1:39" x14ac:dyDescent="0.25">
      <c r="AA1947" s="237"/>
      <c r="AB1947" s="237"/>
      <c r="AC1947" s="237"/>
      <c r="AD1947" s="237"/>
      <c r="AE1947" s="237"/>
      <c r="AF1947" s="237"/>
      <c r="AG1947" s="237"/>
      <c r="AH1947" s="237"/>
      <c r="AJ1947" s="238"/>
    </row>
    <row r="1948" spans="1:39" ht="12.75" x14ac:dyDescent="0.2">
      <c r="AL1948" s="226"/>
      <c r="AM1948" s="226"/>
    </row>
    <row r="1949" spans="1:39" ht="12.75" x14ac:dyDescent="0.2">
      <c r="A1949" s="236"/>
      <c r="B1949" s="236"/>
      <c r="C1949" s="236"/>
      <c r="D1949" s="236"/>
      <c r="E1949" s="237"/>
      <c r="G1949" s="237"/>
      <c r="H1949" s="237"/>
      <c r="I1949" s="237"/>
      <c r="K1949" s="237"/>
      <c r="N1949" s="237"/>
      <c r="O1949" s="237"/>
      <c r="P1949" s="237"/>
      <c r="Q1949" s="237"/>
      <c r="AL1949" s="226"/>
      <c r="AM1949" s="226"/>
    </row>
    <row r="1950" spans="1:39" x14ac:dyDescent="0.25">
      <c r="AA1950" s="237"/>
      <c r="AB1950" s="237"/>
      <c r="AC1950" s="237"/>
      <c r="AD1950" s="237"/>
      <c r="AE1950" s="237"/>
      <c r="AF1950" s="237"/>
      <c r="AG1950" s="237"/>
      <c r="AH1950" s="237"/>
      <c r="AJ1950" s="238"/>
    </row>
    <row r="1951" spans="1:39" x14ac:dyDescent="0.25">
      <c r="AA1951" s="237"/>
      <c r="AB1951" s="237"/>
      <c r="AC1951" s="237"/>
      <c r="AD1951" s="237"/>
      <c r="AE1951" s="237"/>
      <c r="AF1951" s="237"/>
      <c r="AG1951" s="237"/>
      <c r="AH1951" s="237"/>
      <c r="AJ1951" s="238"/>
    </row>
    <row r="1952" spans="1:39" x14ac:dyDescent="0.25">
      <c r="AA1952" s="237"/>
      <c r="AB1952" s="237"/>
      <c r="AC1952" s="237"/>
      <c r="AD1952" s="237"/>
      <c r="AE1952" s="237"/>
      <c r="AF1952" s="237"/>
      <c r="AG1952" s="237"/>
      <c r="AH1952" s="237"/>
      <c r="AJ1952" s="238"/>
    </row>
    <row r="1953" spans="1:39" x14ac:dyDescent="0.25">
      <c r="AA1953" s="237"/>
      <c r="AB1953" s="237"/>
      <c r="AC1953" s="237"/>
      <c r="AD1953" s="237"/>
      <c r="AE1953" s="237"/>
      <c r="AF1953" s="237"/>
      <c r="AG1953" s="237"/>
      <c r="AH1953" s="237"/>
      <c r="AJ1953" s="238"/>
    </row>
    <row r="1954" spans="1:39" ht="12.75" x14ac:dyDescent="0.2">
      <c r="AL1954" s="226"/>
      <c r="AM1954" s="226"/>
    </row>
    <row r="1955" spans="1:39" ht="12.75" x14ac:dyDescent="0.2">
      <c r="A1955" s="236"/>
      <c r="B1955" s="236"/>
      <c r="C1955" s="236"/>
      <c r="D1955" s="236"/>
      <c r="E1955" s="237"/>
      <c r="G1955" s="237"/>
      <c r="H1955" s="237"/>
      <c r="I1955" s="237"/>
      <c r="K1955" s="237"/>
      <c r="N1955" s="237"/>
      <c r="O1955" s="237"/>
      <c r="P1955" s="237"/>
      <c r="Q1955" s="237"/>
      <c r="AL1955" s="226"/>
      <c r="AM1955" s="226"/>
    </row>
    <row r="1956" spans="1:39" x14ac:dyDescent="0.25">
      <c r="AA1956" s="237"/>
      <c r="AB1956" s="237"/>
      <c r="AC1956" s="237"/>
      <c r="AD1956" s="237"/>
      <c r="AE1956" s="237"/>
      <c r="AF1956" s="237"/>
      <c r="AG1956" s="237"/>
      <c r="AH1956" s="237"/>
      <c r="AJ1956" s="238"/>
    </row>
    <row r="1957" spans="1:39" ht="12.75" x14ac:dyDescent="0.2">
      <c r="AL1957" s="226"/>
      <c r="AM1957" s="226"/>
    </row>
    <row r="1958" spans="1:39" ht="12.75" x14ac:dyDescent="0.2">
      <c r="A1958" s="236"/>
      <c r="B1958" s="236"/>
      <c r="C1958" s="236"/>
      <c r="D1958" s="236"/>
      <c r="E1958" s="237"/>
      <c r="G1958" s="237"/>
      <c r="H1958" s="237"/>
      <c r="I1958" s="237"/>
      <c r="K1958" s="237"/>
      <c r="N1958" s="237"/>
      <c r="O1958" s="237"/>
      <c r="P1958" s="237"/>
      <c r="Q1958" s="237"/>
      <c r="AL1958" s="226"/>
      <c r="AM1958" s="226"/>
    </row>
    <row r="1959" spans="1:39" x14ac:dyDescent="0.25">
      <c r="AA1959" s="237"/>
      <c r="AB1959" s="237"/>
      <c r="AC1959" s="237"/>
      <c r="AD1959" s="237"/>
      <c r="AE1959" s="237"/>
      <c r="AF1959" s="237"/>
      <c r="AG1959" s="237"/>
      <c r="AH1959" s="237"/>
      <c r="AJ1959" s="238"/>
    </row>
    <row r="1960" spans="1:39" ht="12.75" x14ac:dyDescent="0.2">
      <c r="AL1960" s="226"/>
      <c r="AM1960" s="226"/>
    </row>
    <row r="1961" spans="1:39" ht="12.75" x14ac:dyDescent="0.2">
      <c r="A1961" s="236"/>
      <c r="B1961" s="236"/>
      <c r="C1961" s="236"/>
      <c r="D1961" s="236"/>
      <c r="E1961" s="237"/>
      <c r="G1961" s="237"/>
      <c r="H1961" s="237"/>
      <c r="I1961" s="237"/>
      <c r="K1961" s="237"/>
      <c r="N1961" s="237"/>
      <c r="O1961" s="237"/>
      <c r="P1961" s="237"/>
      <c r="Q1961" s="237"/>
      <c r="AL1961" s="226"/>
      <c r="AM1961" s="226"/>
    </row>
    <row r="1962" spans="1:39" x14ac:dyDescent="0.25">
      <c r="AA1962" s="237"/>
      <c r="AB1962" s="237"/>
      <c r="AC1962" s="237"/>
      <c r="AD1962" s="237"/>
      <c r="AE1962" s="237"/>
      <c r="AF1962" s="237"/>
      <c r="AG1962" s="237"/>
      <c r="AH1962" s="237"/>
      <c r="AJ1962" s="238"/>
    </row>
    <row r="1963" spans="1:39" x14ac:dyDescent="0.25">
      <c r="AA1963" s="237"/>
      <c r="AB1963" s="237"/>
      <c r="AC1963" s="237"/>
      <c r="AD1963" s="237"/>
      <c r="AE1963" s="237"/>
      <c r="AF1963" s="237"/>
      <c r="AG1963" s="237"/>
      <c r="AH1963" s="237"/>
      <c r="AJ1963" s="238"/>
    </row>
    <row r="1964" spans="1:39" ht="12.75" x14ac:dyDescent="0.2">
      <c r="AL1964" s="226"/>
      <c r="AM1964" s="226"/>
    </row>
    <row r="1965" spans="1:39" ht="12.75" x14ac:dyDescent="0.2">
      <c r="A1965" s="236"/>
      <c r="B1965" s="236"/>
      <c r="C1965" s="236"/>
      <c r="D1965" s="236"/>
      <c r="E1965" s="237"/>
      <c r="G1965" s="237"/>
      <c r="H1965" s="237"/>
      <c r="I1965" s="237"/>
      <c r="K1965" s="237"/>
      <c r="N1965" s="237"/>
      <c r="O1965" s="237"/>
      <c r="P1965" s="237"/>
      <c r="Q1965" s="237"/>
      <c r="AL1965" s="226"/>
      <c r="AM1965" s="226"/>
    </row>
    <row r="1966" spans="1:39" x14ac:dyDescent="0.25">
      <c r="AA1966" s="237"/>
      <c r="AB1966" s="237"/>
      <c r="AC1966" s="237"/>
      <c r="AD1966" s="237"/>
      <c r="AE1966" s="237"/>
      <c r="AF1966" s="237"/>
      <c r="AG1966" s="237"/>
      <c r="AH1966" s="237"/>
      <c r="AJ1966" s="238"/>
    </row>
    <row r="1967" spans="1:39" x14ac:dyDescent="0.25">
      <c r="AA1967" s="237"/>
      <c r="AB1967" s="237"/>
      <c r="AC1967" s="237"/>
      <c r="AD1967" s="237"/>
      <c r="AE1967" s="237"/>
      <c r="AF1967" s="237"/>
      <c r="AG1967" s="237"/>
      <c r="AH1967" s="237"/>
      <c r="AJ1967" s="238"/>
    </row>
    <row r="1968" spans="1:39" x14ac:dyDescent="0.25">
      <c r="AA1968" s="237"/>
      <c r="AB1968" s="237"/>
      <c r="AC1968" s="237"/>
      <c r="AD1968" s="237"/>
      <c r="AE1968" s="237"/>
      <c r="AF1968" s="237"/>
      <c r="AG1968" s="237"/>
      <c r="AH1968" s="237"/>
      <c r="AJ1968" s="238"/>
    </row>
    <row r="1969" spans="1:39" x14ac:dyDescent="0.25">
      <c r="AA1969" s="237"/>
      <c r="AB1969" s="237"/>
      <c r="AC1969" s="237"/>
      <c r="AD1969" s="237"/>
      <c r="AE1969" s="237"/>
      <c r="AF1969" s="237"/>
      <c r="AG1969" s="237"/>
      <c r="AH1969" s="237"/>
      <c r="AJ1969" s="238"/>
    </row>
    <row r="1970" spans="1:39" x14ac:dyDescent="0.25">
      <c r="AA1970" s="237"/>
      <c r="AB1970" s="237"/>
      <c r="AC1970" s="237"/>
      <c r="AD1970" s="237"/>
      <c r="AE1970" s="237"/>
      <c r="AF1970" s="237"/>
      <c r="AG1970" s="237"/>
      <c r="AH1970" s="237"/>
      <c r="AJ1970" s="238"/>
    </row>
    <row r="1971" spans="1:39" x14ac:dyDescent="0.25">
      <c r="AA1971" s="237"/>
      <c r="AB1971" s="237"/>
      <c r="AC1971" s="237"/>
      <c r="AD1971" s="237"/>
      <c r="AE1971" s="237"/>
      <c r="AF1971" s="237"/>
      <c r="AG1971" s="237"/>
      <c r="AH1971" s="237"/>
      <c r="AJ1971" s="238"/>
    </row>
    <row r="1972" spans="1:39" x14ac:dyDescent="0.25">
      <c r="AA1972" s="237"/>
      <c r="AB1972" s="237"/>
      <c r="AC1972" s="237"/>
      <c r="AD1972" s="237"/>
      <c r="AE1972" s="237"/>
      <c r="AF1972" s="237"/>
      <c r="AG1972" s="237"/>
      <c r="AH1972" s="237"/>
      <c r="AJ1972" s="238"/>
    </row>
    <row r="1973" spans="1:39" x14ac:dyDescent="0.25">
      <c r="AA1973" s="237"/>
      <c r="AB1973" s="237"/>
      <c r="AC1973" s="237"/>
      <c r="AD1973" s="237"/>
      <c r="AE1973" s="237"/>
      <c r="AF1973" s="237"/>
      <c r="AG1973" s="237"/>
      <c r="AH1973" s="237"/>
      <c r="AJ1973" s="238"/>
    </row>
    <row r="1974" spans="1:39" x14ac:dyDescent="0.25">
      <c r="AA1974" s="237"/>
      <c r="AB1974" s="237"/>
      <c r="AC1974" s="237"/>
      <c r="AD1974" s="237"/>
      <c r="AE1974" s="237"/>
      <c r="AF1974" s="237"/>
      <c r="AG1974" s="237"/>
      <c r="AH1974" s="237"/>
      <c r="AJ1974" s="238"/>
    </row>
    <row r="1975" spans="1:39" x14ac:dyDescent="0.25">
      <c r="AA1975" s="237"/>
      <c r="AB1975" s="237"/>
      <c r="AC1975" s="237"/>
      <c r="AD1975" s="237"/>
      <c r="AE1975" s="237"/>
      <c r="AF1975" s="237"/>
      <c r="AG1975" s="237"/>
      <c r="AH1975" s="237"/>
      <c r="AJ1975" s="238"/>
    </row>
    <row r="1976" spans="1:39" ht="12.75" x14ac:dyDescent="0.2">
      <c r="AL1976" s="226"/>
      <c r="AM1976" s="226"/>
    </row>
    <row r="1977" spans="1:39" ht="12.75" x14ac:dyDescent="0.2">
      <c r="A1977" s="236"/>
      <c r="B1977" s="236"/>
      <c r="C1977" s="236"/>
      <c r="D1977" s="236"/>
      <c r="E1977" s="237"/>
      <c r="G1977" s="237"/>
      <c r="H1977" s="237"/>
      <c r="I1977" s="237"/>
      <c r="K1977" s="237"/>
      <c r="N1977" s="237"/>
      <c r="O1977" s="237"/>
      <c r="P1977" s="237"/>
      <c r="Q1977" s="237"/>
      <c r="AL1977" s="226"/>
      <c r="AM1977" s="226"/>
    </row>
    <row r="1978" spans="1:39" x14ac:dyDescent="0.25">
      <c r="AA1978" s="237"/>
      <c r="AB1978" s="237"/>
      <c r="AC1978" s="237"/>
      <c r="AD1978" s="237"/>
      <c r="AE1978" s="237"/>
      <c r="AF1978" s="237"/>
      <c r="AG1978" s="237"/>
      <c r="AH1978" s="237"/>
      <c r="AJ1978" s="238"/>
    </row>
    <row r="1979" spans="1:39" ht="12.75" x14ac:dyDescent="0.2">
      <c r="AL1979" s="226"/>
      <c r="AM1979" s="226"/>
    </row>
    <row r="1980" spans="1:39" ht="12.75" x14ac:dyDescent="0.2">
      <c r="A1980" s="236"/>
      <c r="B1980" s="236"/>
      <c r="C1980" s="236"/>
      <c r="D1980" s="236"/>
      <c r="E1980" s="237"/>
      <c r="G1980" s="237"/>
      <c r="H1980" s="237"/>
      <c r="I1980" s="237"/>
      <c r="K1980" s="237"/>
      <c r="N1980" s="237"/>
      <c r="O1980" s="237"/>
      <c r="P1980" s="237"/>
      <c r="Q1980" s="237"/>
      <c r="AL1980" s="226"/>
      <c r="AM1980" s="226"/>
    </row>
    <row r="1981" spans="1:39" x14ac:dyDescent="0.25">
      <c r="AA1981" s="237"/>
      <c r="AB1981" s="237"/>
      <c r="AC1981" s="237"/>
      <c r="AD1981" s="237"/>
      <c r="AE1981" s="237"/>
      <c r="AF1981" s="237"/>
      <c r="AG1981" s="237"/>
      <c r="AH1981" s="237"/>
      <c r="AJ1981" s="238"/>
    </row>
    <row r="1982" spans="1:39" ht="12.75" x14ac:dyDescent="0.2">
      <c r="AL1982" s="226"/>
      <c r="AM1982" s="226"/>
    </row>
    <row r="1983" spans="1:39" ht="12.75" x14ac:dyDescent="0.2">
      <c r="A1983" s="236"/>
      <c r="B1983" s="236"/>
      <c r="C1983" s="236"/>
      <c r="D1983" s="236"/>
      <c r="E1983" s="237"/>
      <c r="G1983" s="237"/>
      <c r="H1983" s="237"/>
      <c r="I1983" s="237"/>
      <c r="K1983" s="237"/>
      <c r="N1983" s="237"/>
      <c r="O1983" s="237"/>
      <c r="P1983" s="237"/>
      <c r="Q1983" s="237"/>
      <c r="AL1983" s="226"/>
      <c r="AM1983" s="226"/>
    </row>
    <row r="1984" spans="1:39" x14ac:dyDescent="0.25">
      <c r="AA1984" s="237"/>
      <c r="AB1984" s="237"/>
      <c r="AC1984" s="237"/>
      <c r="AD1984" s="237"/>
      <c r="AE1984" s="237"/>
      <c r="AF1984" s="237"/>
      <c r="AG1984" s="237"/>
      <c r="AH1984" s="237"/>
      <c r="AJ1984" s="238"/>
    </row>
    <row r="1985" spans="1:39" x14ac:dyDescent="0.25">
      <c r="AA1985" s="237"/>
      <c r="AB1985" s="237"/>
      <c r="AC1985" s="237"/>
      <c r="AD1985" s="237"/>
      <c r="AE1985" s="237"/>
      <c r="AF1985" s="237"/>
      <c r="AG1985" s="237"/>
      <c r="AH1985" s="237"/>
      <c r="AJ1985" s="238"/>
    </row>
    <row r="1986" spans="1:39" ht="12.75" x14ac:dyDescent="0.2">
      <c r="AL1986" s="226"/>
      <c r="AM1986" s="226"/>
    </row>
    <row r="1987" spans="1:39" ht="12.75" x14ac:dyDescent="0.2">
      <c r="A1987" s="236"/>
      <c r="B1987" s="236"/>
      <c r="C1987" s="236"/>
      <c r="D1987" s="236"/>
      <c r="E1987" s="237"/>
      <c r="G1987" s="237"/>
      <c r="H1987" s="237"/>
      <c r="I1987" s="237"/>
      <c r="K1987" s="237"/>
      <c r="N1987" s="237"/>
      <c r="O1987" s="237"/>
      <c r="P1987" s="237"/>
      <c r="Q1987" s="237"/>
      <c r="AL1987" s="226"/>
      <c r="AM1987" s="226"/>
    </row>
    <row r="1988" spans="1:39" x14ac:dyDescent="0.25">
      <c r="AA1988" s="237"/>
      <c r="AB1988" s="237"/>
      <c r="AC1988" s="237"/>
      <c r="AD1988" s="237"/>
      <c r="AE1988" s="237"/>
      <c r="AF1988" s="237"/>
      <c r="AG1988" s="237"/>
      <c r="AH1988" s="237"/>
      <c r="AJ1988" s="238"/>
    </row>
    <row r="1989" spans="1:39" ht="12.75" x14ac:dyDescent="0.2">
      <c r="AL1989" s="226"/>
      <c r="AM1989" s="226"/>
    </row>
    <row r="1990" spans="1:39" ht="12.75" x14ac:dyDescent="0.2">
      <c r="A1990" s="236"/>
      <c r="B1990" s="236"/>
      <c r="C1990" s="236"/>
      <c r="D1990" s="236"/>
      <c r="E1990" s="237"/>
      <c r="G1990" s="237"/>
      <c r="H1990" s="237"/>
      <c r="I1990" s="237"/>
      <c r="K1990" s="237"/>
      <c r="N1990" s="237"/>
      <c r="O1990" s="237"/>
      <c r="P1990" s="237"/>
      <c r="Q1990" s="237"/>
      <c r="AL1990" s="226"/>
      <c r="AM1990" s="226"/>
    </row>
    <row r="1991" spans="1:39" x14ac:dyDescent="0.25">
      <c r="AA1991" s="237"/>
      <c r="AB1991" s="237"/>
      <c r="AC1991" s="237"/>
      <c r="AD1991" s="237"/>
      <c r="AE1991" s="237"/>
      <c r="AF1991" s="237"/>
      <c r="AG1991" s="237"/>
      <c r="AH1991" s="237"/>
      <c r="AJ1991" s="238"/>
    </row>
    <row r="1992" spans="1:39" x14ac:dyDescent="0.25">
      <c r="AA1992" s="237"/>
      <c r="AB1992" s="237"/>
      <c r="AC1992" s="237"/>
      <c r="AD1992" s="237"/>
      <c r="AE1992" s="237"/>
      <c r="AF1992" s="237"/>
      <c r="AG1992" s="237"/>
      <c r="AH1992" s="237"/>
      <c r="AJ1992" s="238"/>
    </row>
    <row r="1993" spans="1:39" x14ac:dyDescent="0.25">
      <c r="AA1993" s="237"/>
      <c r="AB1993" s="237"/>
      <c r="AC1993" s="237"/>
      <c r="AD1993" s="237"/>
      <c r="AE1993" s="237"/>
      <c r="AF1993" s="237"/>
      <c r="AG1993" s="237"/>
      <c r="AH1993" s="237"/>
      <c r="AJ1993" s="238"/>
    </row>
    <row r="1994" spans="1:39" x14ac:dyDescent="0.25">
      <c r="AA1994" s="237"/>
      <c r="AB1994" s="237"/>
      <c r="AC1994" s="237"/>
      <c r="AD1994" s="237"/>
      <c r="AE1994" s="237"/>
      <c r="AF1994" s="237"/>
      <c r="AG1994" s="237"/>
      <c r="AH1994" s="237"/>
      <c r="AJ1994" s="238"/>
    </row>
    <row r="1995" spans="1:39" x14ac:dyDescent="0.25">
      <c r="AA1995" s="237"/>
      <c r="AB1995" s="237"/>
      <c r="AC1995" s="237"/>
      <c r="AD1995" s="237"/>
      <c r="AE1995" s="237"/>
      <c r="AF1995" s="237"/>
      <c r="AG1995" s="237"/>
      <c r="AH1995" s="237"/>
      <c r="AJ1995" s="238"/>
    </row>
    <row r="1996" spans="1:39" x14ac:dyDescent="0.25">
      <c r="AA1996" s="237"/>
      <c r="AB1996" s="237"/>
      <c r="AC1996" s="237"/>
      <c r="AD1996" s="237"/>
      <c r="AE1996" s="237"/>
      <c r="AF1996" s="237"/>
      <c r="AG1996" s="237"/>
      <c r="AH1996" s="237"/>
      <c r="AJ1996" s="238"/>
    </row>
    <row r="1997" spans="1:39" x14ac:dyDescent="0.25">
      <c r="AA1997" s="237"/>
      <c r="AB1997" s="237"/>
      <c r="AC1997" s="237"/>
      <c r="AD1997" s="237"/>
      <c r="AE1997" s="237"/>
      <c r="AF1997" s="237"/>
      <c r="AG1997" s="237"/>
      <c r="AH1997" s="237"/>
      <c r="AJ1997" s="238"/>
    </row>
    <row r="1998" spans="1:39" x14ac:dyDescent="0.25">
      <c r="AA1998" s="237"/>
      <c r="AB1998" s="237"/>
      <c r="AC1998" s="237"/>
      <c r="AD1998" s="237"/>
      <c r="AE1998" s="237"/>
      <c r="AF1998" s="237"/>
      <c r="AG1998" s="237"/>
      <c r="AH1998" s="237"/>
      <c r="AJ1998" s="238"/>
    </row>
    <row r="1999" spans="1:39" x14ac:dyDescent="0.25">
      <c r="AA1999" s="237"/>
      <c r="AB1999" s="237"/>
      <c r="AC1999" s="237"/>
      <c r="AD1999" s="237"/>
      <c r="AE1999" s="237"/>
      <c r="AF1999" s="237"/>
      <c r="AG1999" s="237"/>
      <c r="AH1999" s="237"/>
      <c r="AJ1999" s="238"/>
    </row>
    <row r="2000" spans="1:39" ht="12.75" x14ac:dyDescent="0.2">
      <c r="AL2000" s="226"/>
      <c r="AM2000" s="226"/>
    </row>
    <row r="2001" spans="1:39" ht="12.75" x14ac:dyDescent="0.2">
      <c r="A2001" s="236"/>
      <c r="B2001" s="236"/>
      <c r="C2001" s="236"/>
      <c r="D2001" s="236"/>
      <c r="E2001" s="237"/>
      <c r="G2001" s="237"/>
      <c r="H2001" s="237"/>
      <c r="I2001" s="237"/>
      <c r="K2001" s="237"/>
      <c r="N2001" s="237"/>
      <c r="O2001" s="237"/>
      <c r="P2001" s="237"/>
      <c r="Q2001" s="237"/>
      <c r="AL2001" s="226"/>
      <c r="AM2001" s="226"/>
    </row>
    <row r="2002" spans="1:39" x14ac:dyDescent="0.25">
      <c r="AA2002" s="237"/>
      <c r="AB2002" s="237"/>
      <c r="AC2002" s="237"/>
      <c r="AD2002" s="237"/>
      <c r="AE2002" s="237"/>
      <c r="AF2002" s="237"/>
      <c r="AG2002" s="237"/>
      <c r="AH2002" s="237"/>
      <c r="AJ2002" s="238"/>
    </row>
    <row r="2003" spans="1:39" x14ac:dyDescent="0.25">
      <c r="AA2003" s="237"/>
      <c r="AB2003" s="237"/>
      <c r="AC2003" s="237"/>
      <c r="AD2003" s="237"/>
      <c r="AE2003" s="237"/>
      <c r="AF2003" s="237"/>
      <c r="AG2003" s="237"/>
      <c r="AH2003" s="237"/>
      <c r="AJ2003" s="238"/>
    </row>
    <row r="2004" spans="1:39" x14ac:dyDescent="0.25">
      <c r="AA2004" s="237"/>
      <c r="AB2004" s="237"/>
      <c r="AC2004" s="237"/>
      <c r="AD2004" s="237"/>
      <c r="AE2004" s="237"/>
      <c r="AF2004" s="237"/>
      <c r="AG2004" s="237"/>
      <c r="AH2004" s="237"/>
      <c r="AJ2004" s="238"/>
    </row>
    <row r="2005" spans="1:39" x14ac:dyDescent="0.25">
      <c r="AA2005" s="237"/>
      <c r="AB2005" s="237"/>
      <c r="AC2005" s="237"/>
      <c r="AD2005" s="237"/>
      <c r="AE2005" s="237"/>
      <c r="AF2005" s="237"/>
      <c r="AG2005" s="237"/>
      <c r="AH2005" s="237"/>
      <c r="AJ2005" s="238"/>
    </row>
    <row r="2006" spans="1:39" x14ac:dyDescent="0.25">
      <c r="AA2006" s="237"/>
      <c r="AB2006" s="237"/>
      <c r="AC2006" s="237"/>
      <c r="AD2006" s="237"/>
      <c r="AE2006" s="237"/>
      <c r="AF2006" s="237"/>
      <c r="AG2006" s="237"/>
      <c r="AH2006" s="237"/>
      <c r="AJ2006" s="238"/>
    </row>
    <row r="2007" spans="1:39" x14ac:dyDescent="0.25">
      <c r="AA2007" s="237"/>
      <c r="AB2007" s="237"/>
      <c r="AC2007" s="237"/>
      <c r="AD2007" s="237"/>
      <c r="AE2007" s="237"/>
      <c r="AF2007" s="237"/>
      <c r="AG2007" s="237"/>
      <c r="AH2007" s="237"/>
      <c r="AJ2007" s="238"/>
    </row>
    <row r="2008" spans="1:39" x14ac:dyDescent="0.25">
      <c r="AA2008" s="237"/>
      <c r="AB2008" s="237"/>
      <c r="AC2008" s="237"/>
      <c r="AD2008" s="237"/>
      <c r="AE2008" s="237"/>
      <c r="AF2008" s="237"/>
      <c r="AG2008" s="237"/>
      <c r="AH2008" s="237"/>
      <c r="AJ2008" s="238"/>
    </row>
    <row r="2009" spans="1:39" x14ac:dyDescent="0.25">
      <c r="AA2009" s="237"/>
      <c r="AB2009" s="237"/>
      <c r="AC2009" s="237"/>
      <c r="AD2009" s="237"/>
      <c r="AE2009" s="237"/>
      <c r="AF2009" s="237"/>
      <c r="AG2009" s="237"/>
      <c r="AH2009" s="237"/>
      <c r="AJ2009" s="238"/>
    </row>
    <row r="2010" spans="1:39" x14ac:dyDescent="0.25">
      <c r="AA2010" s="237"/>
      <c r="AB2010" s="237"/>
      <c r="AC2010" s="237"/>
      <c r="AD2010" s="237"/>
      <c r="AE2010" s="237"/>
      <c r="AF2010" s="237"/>
      <c r="AG2010" s="237"/>
      <c r="AH2010" s="237"/>
      <c r="AJ2010" s="238"/>
    </row>
    <row r="2011" spans="1:39" x14ac:dyDescent="0.25">
      <c r="AA2011" s="237"/>
      <c r="AB2011" s="237"/>
      <c r="AC2011" s="237"/>
      <c r="AD2011" s="237"/>
      <c r="AE2011" s="237"/>
      <c r="AF2011" s="237"/>
      <c r="AG2011" s="237"/>
      <c r="AH2011" s="237"/>
      <c r="AJ2011" s="238"/>
    </row>
    <row r="2012" spans="1:39" x14ac:dyDescent="0.25">
      <c r="AA2012" s="237"/>
      <c r="AB2012" s="237"/>
      <c r="AC2012" s="237"/>
      <c r="AD2012" s="237"/>
      <c r="AE2012" s="237"/>
      <c r="AF2012" s="237"/>
      <c r="AG2012" s="237"/>
      <c r="AH2012" s="237"/>
      <c r="AJ2012" s="238"/>
    </row>
    <row r="2013" spans="1:39" x14ac:dyDescent="0.25">
      <c r="AA2013" s="237"/>
      <c r="AB2013" s="237"/>
      <c r="AC2013" s="237"/>
      <c r="AD2013" s="237"/>
      <c r="AE2013" s="237"/>
      <c r="AF2013" s="237"/>
      <c r="AG2013" s="237"/>
      <c r="AH2013" s="237"/>
      <c r="AJ2013" s="238"/>
    </row>
    <row r="2014" spans="1:39" x14ac:dyDescent="0.25">
      <c r="AA2014" s="237"/>
      <c r="AB2014" s="237"/>
      <c r="AC2014" s="237"/>
      <c r="AD2014" s="237"/>
      <c r="AE2014" s="237"/>
      <c r="AF2014" s="237"/>
      <c r="AG2014" s="237"/>
      <c r="AH2014" s="237"/>
      <c r="AJ2014" s="238"/>
    </row>
    <row r="2015" spans="1:39" ht="12.75" x14ac:dyDescent="0.2">
      <c r="AL2015" s="226"/>
      <c r="AM2015" s="226"/>
    </row>
    <row r="2016" spans="1:39" ht="12.75" x14ac:dyDescent="0.2">
      <c r="A2016" s="236"/>
      <c r="B2016" s="236"/>
      <c r="C2016" s="236"/>
      <c r="D2016" s="236"/>
      <c r="E2016" s="237"/>
      <c r="G2016" s="237"/>
      <c r="H2016" s="237"/>
      <c r="I2016" s="237"/>
      <c r="K2016" s="237"/>
      <c r="N2016" s="237"/>
      <c r="O2016" s="237"/>
      <c r="P2016" s="237"/>
      <c r="Q2016" s="237"/>
      <c r="AL2016" s="226"/>
      <c r="AM2016" s="226"/>
    </row>
    <row r="2017" spans="1:39" x14ac:dyDescent="0.25">
      <c r="AA2017" s="237"/>
      <c r="AB2017" s="237"/>
      <c r="AC2017" s="237"/>
      <c r="AD2017" s="237"/>
      <c r="AE2017" s="237"/>
      <c r="AF2017" s="237"/>
      <c r="AG2017" s="237"/>
      <c r="AH2017" s="237"/>
      <c r="AJ2017" s="238"/>
    </row>
    <row r="2018" spans="1:39" ht="12.75" x14ac:dyDescent="0.2">
      <c r="AL2018" s="226"/>
      <c r="AM2018" s="226"/>
    </row>
    <row r="2019" spans="1:39" ht="12.75" x14ac:dyDescent="0.2">
      <c r="A2019" s="236"/>
      <c r="B2019" s="236"/>
      <c r="C2019" s="236"/>
      <c r="D2019" s="236"/>
      <c r="E2019" s="237"/>
      <c r="G2019" s="237"/>
      <c r="H2019" s="237"/>
      <c r="I2019" s="237"/>
      <c r="K2019" s="237"/>
      <c r="N2019" s="237"/>
      <c r="O2019" s="237"/>
      <c r="P2019" s="237"/>
      <c r="Q2019" s="237"/>
      <c r="AL2019" s="226"/>
      <c r="AM2019" s="226"/>
    </row>
    <row r="2020" spans="1:39" x14ac:dyDescent="0.25">
      <c r="AA2020" s="237"/>
      <c r="AB2020" s="237"/>
      <c r="AC2020" s="237"/>
      <c r="AD2020" s="237"/>
      <c r="AE2020" s="237"/>
      <c r="AF2020" s="237"/>
      <c r="AG2020" s="237"/>
      <c r="AH2020" s="237"/>
      <c r="AJ2020" s="238"/>
    </row>
    <row r="2021" spans="1:39" x14ac:dyDescent="0.25">
      <c r="AA2021" s="237"/>
      <c r="AB2021" s="237"/>
      <c r="AC2021" s="237"/>
      <c r="AD2021" s="237"/>
      <c r="AE2021" s="237"/>
      <c r="AF2021" s="237"/>
      <c r="AG2021" s="237"/>
      <c r="AH2021" s="237"/>
      <c r="AJ2021" s="238"/>
    </row>
    <row r="2022" spans="1:39" x14ac:dyDescent="0.25">
      <c r="AA2022" s="237"/>
      <c r="AB2022" s="237"/>
      <c r="AC2022" s="237"/>
      <c r="AD2022" s="237"/>
      <c r="AE2022" s="237"/>
      <c r="AF2022" s="237"/>
      <c r="AG2022" s="237"/>
      <c r="AH2022" s="237"/>
      <c r="AJ2022" s="238"/>
    </row>
    <row r="2023" spans="1:39" x14ac:dyDescent="0.25">
      <c r="AA2023" s="237"/>
      <c r="AB2023" s="237"/>
      <c r="AC2023" s="237"/>
      <c r="AD2023" s="237"/>
      <c r="AE2023" s="237"/>
      <c r="AF2023" s="237"/>
      <c r="AG2023" s="237"/>
      <c r="AH2023" s="237"/>
      <c r="AJ2023" s="238"/>
    </row>
    <row r="2024" spans="1:39" x14ac:dyDescent="0.25">
      <c r="AA2024" s="237"/>
      <c r="AB2024" s="237"/>
      <c r="AC2024" s="237"/>
      <c r="AD2024" s="237"/>
      <c r="AE2024" s="237"/>
      <c r="AF2024" s="237"/>
      <c r="AG2024" s="237"/>
      <c r="AH2024" s="237"/>
      <c r="AJ2024" s="238"/>
    </row>
    <row r="2025" spans="1:39" x14ac:dyDescent="0.25">
      <c r="AA2025" s="237"/>
      <c r="AB2025" s="237"/>
      <c r="AC2025" s="237"/>
      <c r="AD2025" s="237"/>
      <c r="AE2025" s="237"/>
      <c r="AF2025" s="237"/>
      <c r="AG2025" s="237"/>
      <c r="AH2025" s="237"/>
      <c r="AJ2025" s="238"/>
    </row>
    <row r="2026" spans="1:39" ht="12.75" x14ac:dyDescent="0.2">
      <c r="AL2026" s="226"/>
      <c r="AM2026" s="226"/>
    </row>
    <row r="2027" spans="1:39" ht="12.75" x14ac:dyDescent="0.2">
      <c r="A2027" s="236"/>
      <c r="B2027" s="236"/>
      <c r="C2027" s="236"/>
      <c r="D2027" s="236"/>
      <c r="E2027" s="237"/>
      <c r="G2027" s="237"/>
      <c r="H2027" s="237"/>
      <c r="I2027" s="237"/>
      <c r="K2027" s="237"/>
      <c r="N2027" s="237"/>
      <c r="O2027" s="237"/>
      <c r="P2027" s="237"/>
      <c r="Q2027" s="237"/>
      <c r="AL2027" s="226"/>
      <c r="AM2027" s="226"/>
    </row>
    <row r="2028" spans="1:39" x14ac:dyDescent="0.25">
      <c r="AA2028" s="237"/>
      <c r="AB2028" s="237"/>
      <c r="AC2028" s="237"/>
      <c r="AD2028" s="237"/>
      <c r="AE2028" s="237"/>
      <c r="AF2028" s="237"/>
      <c r="AG2028" s="237"/>
      <c r="AH2028" s="237"/>
      <c r="AJ2028" s="238"/>
    </row>
    <row r="2029" spans="1:39" x14ac:dyDescent="0.25">
      <c r="AA2029" s="237"/>
      <c r="AB2029" s="237"/>
      <c r="AC2029" s="237"/>
      <c r="AD2029" s="237"/>
      <c r="AE2029" s="237"/>
      <c r="AF2029" s="237"/>
      <c r="AG2029" s="237"/>
      <c r="AH2029" s="237"/>
      <c r="AJ2029" s="238"/>
    </row>
    <row r="2030" spans="1:39" x14ac:dyDescent="0.25">
      <c r="AA2030" s="237"/>
      <c r="AB2030" s="237"/>
      <c r="AC2030" s="237"/>
      <c r="AD2030" s="237"/>
      <c r="AE2030" s="237"/>
      <c r="AF2030" s="237"/>
      <c r="AG2030" s="237"/>
      <c r="AH2030" s="237"/>
      <c r="AJ2030" s="238"/>
    </row>
    <row r="2031" spans="1:39" ht="12.75" x14ac:dyDescent="0.2">
      <c r="AL2031" s="226"/>
      <c r="AM2031" s="226"/>
    </row>
    <row r="2032" spans="1:39" ht="12.75" x14ac:dyDescent="0.2">
      <c r="A2032" s="236"/>
      <c r="B2032" s="236"/>
      <c r="C2032" s="236"/>
      <c r="D2032" s="236"/>
      <c r="E2032" s="237"/>
      <c r="G2032" s="237"/>
      <c r="H2032" s="237"/>
      <c r="I2032" s="237"/>
      <c r="K2032" s="237"/>
      <c r="N2032" s="237"/>
      <c r="O2032" s="237"/>
      <c r="P2032" s="237"/>
      <c r="Q2032" s="237"/>
      <c r="AL2032" s="226"/>
      <c r="AM2032" s="226"/>
    </row>
    <row r="2033" spans="1:39" x14ac:dyDescent="0.25">
      <c r="AA2033" s="237"/>
      <c r="AB2033" s="237"/>
      <c r="AC2033" s="237"/>
      <c r="AD2033" s="237"/>
      <c r="AE2033" s="237"/>
      <c r="AF2033" s="237"/>
      <c r="AG2033" s="237"/>
      <c r="AH2033" s="237"/>
      <c r="AJ2033" s="238"/>
    </row>
    <row r="2034" spans="1:39" x14ac:dyDescent="0.25">
      <c r="AA2034" s="237"/>
      <c r="AB2034" s="237"/>
      <c r="AC2034" s="237"/>
      <c r="AD2034" s="237"/>
      <c r="AE2034" s="237"/>
      <c r="AF2034" s="237"/>
      <c r="AG2034" s="237"/>
      <c r="AH2034" s="237"/>
      <c r="AJ2034" s="238"/>
    </row>
    <row r="2035" spans="1:39" ht="12.75" x14ac:dyDescent="0.2">
      <c r="AL2035" s="226"/>
      <c r="AM2035" s="226"/>
    </row>
    <row r="2036" spans="1:39" ht="12.75" x14ac:dyDescent="0.2">
      <c r="A2036" s="236"/>
      <c r="B2036" s="236"/>
      <c r="C2036" s="236"/>
      <c r="D2036" s="236"/>
      <c r="E2036" s="237"/>
      <c r="G2036" s="237"/>
      <c r="H2036" s="237"/>
      <c r="I2036" s="237"/>
      <c r="K2036" s="237"/>
      <c r="N2036" s="237"/>
      <c r="O2036" s="237"/>
      <c r="P2036" s="237"/>
      <c r="Q2036" s="237"/>
      <c r="AL2036" s="226"/>
      <c r="AM2036" s="226"/>
    </row>
    <row r="2037" spans="1:39" x14ac:dyDescent="0.25">
      <c r="AA2037" s="237"/>
      <c r="AB2037" s="237"/>
      <c r="AC2037" s="237"/>
      <c r="AD2037" s="237"/>
      <c r="AE2037" s="237"/>
      <c r="AF2037" s="237"/>
      <c r="AG2037" s="237"/>
      <c r="AH2037" s="237"/>
      <c r="AJ2037" s="238"/>
    </row>
    <row r="2038" spans="1:39" x14ac:dyDescent="0.25">
      <c r="AA2038" s="237"/>
      <c r="AB2038" s="237"/>
      <c r="AC2038" s="237"/>
      <c r="AD2038" s="237"/>
      <c r="AE2038" s="237"/>
      <c r="AF2038" s="237"/>
      <c r="AG2038" s="237"/>
      <c r="AH2038" s="237"/>
      <c r="AJ2038" s="238"/>
    </row>
    <row r="2039" spans="1:39" x14ac:dyDescent="0.25">
      <c r="AA2039" s="237"/>
      <c r="AB2039" s="237"/>
      <c r="AC2039" s="237"/>
      <c r="AD2039" s="237"/>
      <c r="AE2039" s="237"/>
      <c r="AF2039" s="237"/>
      <c r="AG2039" s="237"/>
      <c r="AH2039" s="237"/>
      <c r="AJ2039" s="238"/>
    </row>
    <row r="2040" spans="1:39" x14ac:dyDescent="0.25">
      <c r="AA2040" s="237"/>
      <c r="AB2040" s="237"/>
      <c r="AC2040" s="237"/>
      <c r="AD2040" s="237"/>
      <c r="AE2040" s="237"/>
      <c r="AF2040" s="237"/>
      <c r="AG2040" s="237"/>
      <c r="AH2040" s="237"/>
      <c r="AJ2040" s="238"/>
    </row>
    <row r="2041" spans="1:39" ht="12.75" x14ac:dyDescent="0.2">
      <c r="AL2041" s="226"/>
      <c r="AM2041" s="226"/>
    </row>
    <row r="2042" spans="1:39" ht="12.75" x14ac:dyDescent="0.2">
      <c r="A2042" s="236"/>
      <c r="B2042" s="236"/>
      <c r="C2042" s="236"/>
      <c r="D2042" s="236"/>
      <c r="E2042" s="237"/>
      <c r="G2042" s="237"/>
      <c r="H2042" s="237"/>
      <c r="I2042" s="237"/>
      <c r="K2042" s="237"/>
      <c r="N2042" s="237"/>
      <c r="O2042" s="237"/>
      <c r="P2042" s="237"/>
      <c r="Q2042" s="237"/>
      <c r="AL2042" s="226"/>
      <c r="AM2042" s="226"/>
    </row>
    <row r="2043" spans="1:39" x14ac:dyDescent="0.25">
      <c r="AA2043" s="237"/>
      <c r="AB2043" s="237"/>
      <c r="AC2043" s="237"/>
      <c r="AD2043" s="237"/>
      <c r="AE2043" s="237"/>
      <c r="AF2043" s="237"/>
      <c r="AG2043" s="237"/>
      <c r="AH2043" s="237"/>
      <c r="AJ2043" s="238"/>
    </row>
    <row r="2044" spans="1:39" ht="12.75" x14ac:dyDescent="0.2">
      <c r="AL2044" s="226"/>
      <c r="AM2044" s="226"/>
    </row>
    <row r="2045" spans="1:39" ht="12.75" x14ac:dyDescent="0.2">
      <c r="A2045" s="236"/>
      <c r="B2045" s="236"/>
      <c r="C2045" s="236"/>
      <c r="D2045" s="236"/>
      <c r="E2045" s="237"/>
      <c r="G2045" s="237"/>
      <c r="H2045" s="237"/>
      <c r="I2045" s="237"/>
      <c r="K2045" s="237"/>
      <c r="N2045" s="237"/>
      <c r="O2045" s="237"/>
      <c r="P2045" s="237"/>
      <c r="Q2045" s="237"/>
      <c r="AL2045" s="226"/>
      <c r="AM2045" s="226"/>
    </row>
    <row r="2046" spans="1:39" x14ac:dyDescent="0.25">
      <c r="AA2046" s="237"/>
      <c r="AB2046" s="237"/>
      <c r="AC2046" s="237"/>
      <c r="AD2046" s="237"/>
      <c r="AE2046" s="237"/>
      <c r="AF2046" s="237"/>
      <c r="AG2046" s="237"/>
      <c r="AH2046" s="237"/>
      <c r="AJ2046" s="238"/>
    </row>
    <row r="2047" spans="1:39" ht="12.75" x14ac:dyDescent="0.2">
      <c r="AL2047" s="226"/>
      <c r="AM2047" s="226"/>
    </row>
    <row r="2048" spans="1:39" ht="12.75" x14ac:dyDescent="0.2">
      <c r="A2048" s="236"/>
      <c r="B2048" s="236"/>
      <c r="C2048" s="236"/>
      <c r="D2048" s="236"/>
      <c r="E2048" s="237"/>
      <c r="G2048" s="237"/>
      <c r="H2048" s="237"/>
      <c r="I2048" s="237"/>
      <c r="K2048" s="237"/>
      <c r="N2048" s="237"/>
      <c r="O2048" s="237"/>
      <c r="P2048" s="237"/>
      <c r="Q2048" s="237"/>
      <c r="AL2048" s="226"/>
      <c r="AM2048" s="226"/>
    </row>
    <row r="2049" spans="1:39" x14ac:dyDescent="0.25">
      <c r="AA2049" s="237"/>
      <c r="AB2049" s="237"/>
      <c r="AC2049" s="237"/>
      <c r="AD2049" s="237"/>
      <c r="AE2049" s="237"/>
      <c r="AF2049" s="237"/>
      <c r="AG2049" s="237"/>
      <c r="AH2049" s="237"/>
      <c r="AJ2049" s="238"/>
    </row>
    <row r="2050" spans="1:39" x14ac:dyDescent="0.25">
      <c r="AA2050" s="237"/>
      <c r="AB2050" s="237"/>
      <c r="AC2050" s="237"/>
      <c r="AD2050" s="237"/>
      <c r="AE2050" s="237"/>
      <c r="AF2050" s="237"/>
      <c r="AG2050" s="237"/>
      <c r="AH2050" s="237"/>
      <c r="AJ2050" s="238"/>
    </row>
    <row r="2051" spans="1:39" ht="12.75" x14ac:dyDescent="0.2">
      <c r="AL2051" s="226"/>
      <c r="AM2051" s="226"/>
    </row>
    <row r="2052" spans="1:39" ht="12.75" x14ac:dyDescent="0.2">
      <c r="A2052" s="236"/>
      <c r="B2052" s="236"/>
      <c r="C2052" s="236"/>
      <c r="D2052" s="236"/>
      <c r="E2052" s="237"/>
      <c r="G2052" s="237"/>
      <c r="H2052" s="237"/>
      <c r="I2052" s="237"/>
      <c r="K2052" s="237"/>
      <c r="N2052" s="237"/>
      <c r="O2052" s="237"/>
      <c r="P2052" s="237"/>
      <c r="Q2052" s="237"/>
      <c r="AL2052" s="226"/>
      <c r="AM2052" s="226"/>
    </row>
    <row r="2053" spans="1:39" x14ac:dyDescent="0.25">
      <c r="AA2053" s="237"/>
      <c r="AB2053" s="237"/>
      <c r="AC2053" s="237"/>
      <c r="AD2053" s="237"/>
      <c r="AE2053" s="237"/>
      <c r="AF2053" s="237"/>
      <c r="AG2053" s="237"/>
      <c r="AH2053" s="237"/>
      <c r="AJ2053" s="238"/>
    </row>
    <row r="2054" spans="1:39" x14ac:dyDescent="0.25">
      <c r="AA2054" s="237"/>
      <c r="AB2054" s="237"/>
      <c r="AC2054" s="237"/>
      <c r="AD2054" s="237"/>
      <c r="AE2054" s="237"/>
      <c r="AF2054" s="237"/>
      <c r="AG2054" s="237"/>
      <c r="AH2054" s="237"/>
      <c r="AJ2054" s="238"/>
    </row>
    <row r="2055" spans="1:39" x14ac:dyDescent="0.25">
      <c r="AA2055" s="237"/>
      <c r="AB2055" s="237"/>
      <c r="AC2055" s="237"/>
      <c r="AD2055" s="237"/>
      <c r="AE2055" s="237"/>
      <c r="AF2055" s="237"/>
      <c r="AG2055" s="237"/>
      <c r="AH2055" s="237"/>
      <c r="AJ2055" s="238"/>
    </row>
    <row r="2056" spans="1:39" x14ac:dyDescent="0.25">
      <c r="AA2056" s="237"/>
      <c r="AB2056" s="237"/>
      <c r="AC2056" s="237"/>
      <c r="AD2056" s="237"/>
      <c r="AE2056" s="237"/>
      <c r="AF2056" s="237"/>
      <c r="AG2056" s="237"/>
      <c r="AH2056" s="237"/>
      <c r="AJ2056" s="238"/>
    </row>
    <row r="2057" spans="1:39" ht="12.75" x14ac:dyDescent="0.2">
      <c r="AL2057" s="226"/>
      <c r="AM2057" s="226"/>
    </row>
    <row r="2058" spans="1:39" ht="12.75" x14ac:dyDescent="0.2">
      <c r="A2058" s="236"/>
      <c r="B2058" s="236"/>
      <c r="C2058" s="236"/>
      <c r="D2058" s="236"/>
      <c r="E2058" s="237"/>
      <c r="G2058" s="237"/>
      <c r="H2058" s="237"/>
      <c r="I2058" s="237"/>
      <c r="K2058" s="237"/>
      <c r="N2058" s="237"/>
      <c r="O2058" s="237"/>
      <c r="P2058" s="237"/>
      <c r="Q2058" s="237"/>
      <c r="AL2058" s="226"/>
      <c r="AM2058" s="226"/>
    </row>
    <row r="2059" spans="1:39" x14ac:dyDescent="0.25">
      <c r="AA2059" s="237"/>
      <c r="AB2059" s="237"/>
      <c r="AC2059" s="237"/>
      <c r="AD2059" s="237"/>
      <c r="AE2059" s="237"/>
      <c r="AF2059" s="237"/>
      <c r="AG2059" s="237"/>
      <c r="AH2059" s="237"/>
      <c r="AJ2059" s="238"/>
    </row>
    <row r="2060" spans="1:39" ht="12.75" x14ac:dyDescent="0.2">
      <c r="AL2060" s="226"/>
      <c r="AM2060" s="226"/>
    </row>
    <row r="2061" spans="1:39" ht="12.75" x14ac:dyDescent="0.2">
      <c r="A2061" s="236"/>
      <c r="B2061" s="236"/>
      <c r="C2061" s="236"/>
      <c r="D2061" s="236"/>
      <c r="E2061" s="237"/>
      <c r="G2061" s="237"/>
      <c r="H2061" s="237"/>
      <c r="I2061" s="237"/>
      <c r="K2061" s="237"/>
      <c r="N2061" s="237"/>
      <c r="O2061" s="237"/>
      <c r="P2061" s="237"/>
      <c r="Q2061" s="237"/>
      <c r="AL2061" s="226"/>
      <c r="AM2061" s="226"/>
    </row>
    <row r="2062" spans="1:39" x14ac:dyDescent="0.25">
      <c r="AA2062" s="237"/>
      <c r="AB2062" s="237"/>
      <c r="AC2062" s="237"/>
      <c r="AD2062" s="237"/>
      <c r="AE2062" s="237"/>
      <c r="AF2062" s="237"/>
      <c r="AG2062" s="237"/>
      <c r="AH2062" s="237"/>
      <c r="AJ2062" s="238"/>
    </row>
    <row r="2063" spans="1:39" x14ac:dyDescent="0.25">
      <c r="AA2063" s="237"/>
      <c r="AB2063" s="237"/>
      <c r="AC2063" s="237"/>
      <c r="AD2063" s="237"/>
      <c r="AE2063" s="237"/>
      <c r="AF2063" s="237"/>
      <c r="AG2063" s="237"/>
      <c r="AH2063" s="237"/>
      <c r="AJ2063" s="238"/>
    </row>
    <row r="2064" spans="1:39" x14ac:dyDescent="0.25">
      <c r="AA2064" s="237"/>
      <c r="AB2064" s="237"/>
      <c r="AC2064" s="237"/>
      <c r="AD2064" s="237"/>
      <c r="AE2064" s="237"/>
      <c r="AF2064" s="237"/>
      <c r="AG2064" s="237"/>
      <c r="AH2064" s="237"/>
      <c r="AJ2064" s="238"/>
    </row>
    <row r="2065" spans="1:39" ht="12.75" x14ac:dyDescent="0.2">
      <c r="AL2065" s="226"/>
      <c r="AM2065" s="226"/>
    </row>
    <row r="2066" spans="1:39" ht="12.75" x14ac:dyDescent="0.2">
      <c r="A2066" s="236"/>
      <c r="B2066" s="236"/>
      <c r="C2066" s="236"/>
      <c r="D2066" s="236"/>
      <c r="E2066" s="237"/>
      <c r="G2066" s="237"/>
      <c r="H2066" s="237"/>
      <c r="I2066" s="237"/>
      <c r="K2066" s="237"/>
      <c r="N2066" s="237"/>
      <c r="O2066" s="237"/>
      <c r="P2066" s="237"/>
      <c r="Q2066" s="237"/>
      <c r="AL2066" s="226"/>
      <c r="AM2066" s="226"/>
    </row>
    <row r="2067" spans="1:39" x14ac:dyDescent="0.25">
      <c r="AA2067" s="237"/>
      <c r="AB2067" s="237"/>
      <c r="AC2067" s="237"/>
      <c r="AD2067" s="237"/>
      <c r="AE2067" s="237"/>
      <c r="AF2067" s="237"/>
      <c r="AG2067" s="237"/>
      <c r="AH2067" s="237"/>
      <c r="AJ2067" s="238"/>
    </row>
    <row r="2068" spans="1:39" x14ac:dyDescent="0.25">
      <c r="AA2068" s="237"/>
      <c r="AB2068" s="237"/>
      <c r="AC2068" s="237"/>
      <c r="AD2068" s="237"/>
      <c r="AE2068" s="237"/>
      <c r="AF2068" s="237"/>
      <c r="AG2068" s="237"/>
      <c r="AH2068" s="237"/>
      <c r="AJ2068" s="238"/>
    </row>
    <row r="2069" spans="1:39" x14ac:dyDescent="0.25">
      <c r="AA2069" s="237"/>
      <c r="AB2069" s="237"/>
      <c r="AC2069" s="237"/>
      <c r="AD2069" s="237"/>
      <c r="AE2069" s="237"/>
      <c r="AF2069" s="237"/>
      <c r="AG2069" s="237"/>
      <c r="AH2069" s="237"/>
      <c r="AJ2069" s="238"/>
    </row>
    <row r="2070" spans="1:39" ht="12.75" x14ac:dyDescent="0.2">
      <c r="AL2070" s="226"/>
      <c r="AM2070" s="226"/>
    </row>
    <row r="2071" spans="1:39" ht="12.75" x14ac:dyDescent="0.2">
      <c r="A2071" s="236"/>
      <c r="B2071" s="236"/>
      <c r="C2071" s="236"/>
      <c r="D2071" s="236"/>
      <c r="E2071" s="237"/>
      <c r="G2071" s="237"/>
      <c r="H2071" s="237"/>
      <c r="I2071" s="237"/>
      <c r="K2071" s="237"/>
      <c r="N2071" s="237"/>
      <c r="O2071" s="237"/>
      <c r="P2071" s="237"/>
      <c r="Q2071" s="237"/>
      <c r="AL2071" s="226"/>
      <c r="AM2071" s="226"/>
    </row>
    <row r="2072" spans="1:39" x14ac:dyDescent="0.25">
      <c r="AA2072" s="237"/>
      <c r="AB2072" s="237"/>
      <c r="AC2072" s="237"/>
      <c r="AD2072" s="237"/>
      <c r="AE2072" s="237"/>
      <c r="AF2072" s="237"/>
      <c r="AG2072" s="237"/>
      <c r="AH2072" s="237"/>
      <c r="AJ2072" s="238"/>
    </row>
    <row r="2073" spans="1:39" ht="12.75" x14ac:dyDescent="0.2">
      <c r="AL2073" s="226"/>
      <c r="AM2073" s="226"/>
    </row>
    <row r="2074" spans="1:39" ht="12.75" x14ac:dyDescent="0.2">
      <c r="A2074" s="236"/>
      <c r="B2074" s="236"/>
      <c r="C2074" s="236"/>
      <c r="D2074" s="236"/>
      <c r="E2074" s="237"/>
      <c r="G2074" s="237"/>
      <c r="H2074" s="237"/>
      <c r="I2074" s="237"/>
      <c r="K2074" s="237"/>
      <c r="N2074" s="237"/>
      <c r="O2074" s="237"/>
      <c r="P2074" s="237"/>
      <c r="Q2074" s="237"/>
      <c r="AL2074" s="226"/>
      <c r="AM2074" s="226"/>
    </row>
    <row r="2075" spans="1:39" x14ac:dyDescent="0.25">
      <c r="AA2075" s="237"/>
      <c r="AB2075" s="237"/>
      <c r="AC2075" s="237"/>
      <c r="AD2075" s="237"/>
      <c r="AE2075" s="237"/>
      <c r="AF2075" s="237"/>
      <c r="AG2075" s="237"/>
      <c r="AH2075" s="237"/>
      <c r="AJ2075" s="238"/>
    </row>
    <row r="2076" spans="1:39" ht="12.75" x14ac:dyDescent="0.2">
      <c r="AL2076" s="226"/>
      <c r="AM2076" s="226"/>
    </row>
    <row r="2077" spans="1:39" ht="12.75" x14ac:dyDescent="0.2">
      <c r="A2077" s="236"/>
      <c r="B2077" s="236"/>
      <c r="C2077" s="236"/>
      <c r="D2077" s="236"/>
      <c r="E2077" s="237"/>
      <c r="G2077" s="237"/>
      <c r="H2077" s="237"/>
      <c r="I2077" s="237"/>
      <c r="K2077" s="237"/>
      <c r="N2077" s="237"/>
      <c r="O2077" s="237"/>
      <c r="P2077" s="237"/>
      <c r="Q2077" s="237"/>
      <c r="AL2077" s="226"/>
      <c r="AM2077" s="226"/>
    </row>
    <row r="2078" spans="1:39" x14ac:dyDescent="0.25">
      <c r="AA2078" s="237"/>
      <c r="AB2078" s="237"/>
      <c r="AC2078" s="237"/>
      <c r="AD2078" s="237"/>
      <c r="AE2078" s="237"/>
      <c r="AF2078" s="237"/>
      <c r="AG2078" s="237"/>
      <c r="AH2078" s="237"/>
      <c r="AJ2078" s="238"/>
    </row>
    <row r="2079" spans="1:39" ht="12.75" x14ac:dyDescent="0.2">
      <c r="AL2079" s="226"/>
      <c r="AM2079" s="226"/>
    </row>
    <row r="2080" spans="1:39" ht="12.75" x14ac:dyDescent="0.2">
      <c r="A2080" s="236"/>
      <c r="B2080" s="236"/>
      <c r="C2080" s="236"/>
      <c r="D2080" s="236"/>
      <c r="E2080" s="237"/>
      <c r="G2080" s="237"/>
      <c r="H2080" s="237"/>
      <c r="I2080" s="237"/>
      <c r="K2080" s="237"/>
      <c r="N2080" s="237"/>
      <c r="O2080" s="237"/>
      <c r="P2080" s="237"/>
      <c r="Q2080" s="237"/>
      <c r="AL2080" s="226"/>
      <c r="AM2080" s="226"/>
    </row>
    <row r="2081" spans="1:39" x14ac:dyDescent="0.25">
      <c r="AA2081" s="237"/>
      <c r="AB2081" s="237"/>
      <c r="AC2081" s="237"/>
      <c r="AD2081" s="237"/>
      <c r="AE2081" s="237"/>
      <c r="AF2081" s="237"/>
      <c r="AG2081" s="237"/>
      <c r="AH2081" s="237"/>
      <c r="AJ2081" s="238"/>
    </row>
    <row r="2082" spans="1:39" ht="12.75" x14ac:dyDescent="0.2">
      <c r="AL2082" s="226"/>
      <c r="AM2082" s="226"/>
    </row>
    <row r="2083" spans="1:39" ht="12.75" x14ac:dyDescent="0.2">
      <c r="A2083" s="236"/>
      <c r="B2083" s="236"/>
      <c r="C2083" s="236"/>
      <c r="D2083" s="236"/>
      <c r="E2083" s="237"/>
      <c r="G2083" s="237"/>
      <c r="H2083" s="237"/>
      <c r="I2083" s="237"/>
      <c r="K2083" s="237"/>
      <c r="N2083" s="237"/>
      <c r="O2083" s="237"/>
      <c r="P2083" s="237"/>
      <c r="Q2083" s="237"/>
      <c r="AL2083" s="226"/>
      <c r="AM2083" s="226"/>
    </row>
    <row r="2084" spans="1:39" x14ac:dyDescent="0.25">
      <c r="AA2084" s="237"/>
      <c r="AB2084" s="237"/>
      <c r="AC2084" s="237"/>
      <c r="AD2084" s="237"/>
      <c r="AE2084" s="237"/>
      <c r="AF2084" s="237"/>
      <c r="AG2084" s="237"/>
      <c r="AH2084" s="237"/>
      <c r="AJ2084" s="238"/>
    </row>
    <row r="2085" spans="1:39" ht="12.75" x14ac:dyDescent="0.2">
      <c r="AL2085" s="226"/>
      <c r="AM2085" s="226"/>
    </row>
    <row r="2086" spans="1:39" ht="12.75" x14ac:dyDescent="0.2">
      <c r="A2086" s="236"/>
      <c r="B2086" s="236"/>
      <c r="C2086" s="236"/>
      <c r="D2086" s="236"/>
      <c r="E2086" s="237"/>
      <c r="G2086" s="237"/>
      <c r="H2086" s="237"/>
      <c r="I2086" s="237"/>
      <c r="K2086" s="237"/>
      <c r="N2086" s="237"/>
      <c r="O2086" s="237"/>
      <c r="P2086" s="237"/>
      <c r="Q2086" s="237"/>
      <c r="AL2086" s="226"/>
      <c r="AM2086" s="226"/>
    </row>
    <row r="2087" spans="1:39" x14ac:dyDescent="0.25">
      <c r="AA2087" s="237"/>
      <c r="AB2087" s="237"/>
      <c r="AC2087" s="237"/>
      <c r="AD2087" s="237"/>
      <c r="AE2087" s="237"/>
      <c r="AF2087" s="237"/>
      <c r="AG2087" s="237"/>
      <c r="AH2087" s="237"/>
      <c r="AJ2087" s="238"/>
    </row>
    <row r="2088" spans="1:39" ht="12.75" x14ac:dyDescent="0.2">
      <c r="AL2088" s="226"/>
      <c r="AM2088" s="226"/>
    </row>
    <row r="2089" spans="1:39" ht="12.75" x14ac:dyDescent="0.2">
      <c r="A2089" s="236"/>
      <c r="B2089" s="236"/>
      <c r="C2089" s="236"/>
      <c r="D2089" s="236"/>
      <c r="E2089" s="237"/>
      <c r="G2089" s="237"/>
      <c r="H2089" s="237"/>
      <c r="I2089" s="237"/>
      <c r="K2089" s="237"/>
      <c r="N2089" s="237"/>
      <c r="O2089" s="237"/>
      <c r="P2089" s="237"/>
      <c r="Q2089" s="237"/>
      <c r="AL2089" s="226"/>
      <c r="AM2089" s="226"/>
    </row>
    <row r="2090" spans="1:39" x14ac:dyDescent="0.25">
      <c r="AA2090" s="237"/>
      <c r="AB2090" s="237"/>
      <c r="AC2090" s="237"/>
      <c r="AD2090" s="237"/>
      <c r="AE2090" s="237"/>
      <c r="AF2090" s="237"/>
      <c r="AG2090" s="237"/>
      <c r="AH2090" s="237"/>
      <c r="AJ2090" s="238"/>
    </row>
    <row r="2091" spans="1:39" x14ac:dyDescent="0.25">
      <c r="AA2091" s="237"/>
      <c r="AB2091" s="237"/>
      <c r="AC2091" s="237"/>
      <c r="AD2091" s="237"/>
      <c r="AE2091" s="237"/>
      <c r="AF2091" s="237"/>
      <c r="AG2091" s="237"/>
      <c r="AH2091" s="237"/>
      <c r="AJ2091" s="238"/>
    </row>
    <row r="2092" spans="1:39" ht="12.75" x14ac:dyDescent="0.2">
      <c r="AL2092" s="226"/>
      <c r="AM2092" s="226"/>
    </row>
    <row r="2093" spans="1:39" ht="12.75" x14ac:dyDescent="0.2">
      <c r="A2093" s="236"/>
      <c r="B2093" s="236"/>
      <c r="C2093" s="236"/>
      <c r="D2093" s="236"/>
      <c r="E2093" s="237"/>
      <c r="G2093" s="237"/>
      <c r="H2093" s="237"/>
      <c r="I2093" s="237"/>
      <c r="K2093" s="237"/>
      <c r="N2093" s="237"/>
      <c r="O2093" s="237"/>
      <c r="P2093" s="237"/>
      <c r="Q2093" s="237"/>
      <c r="AL2093" s="226"/>
      <c r="AM2093" s="226"/>
    </row>
    <row r="2094" spans="1:39" x14ac:dyDescent="0.25">
      <c r="AA2094" s="237"/>
      <c r="AB2094" s="237"/>
      <c r="AC2094" s="237"/>
      <c r="AD2094" s="237"/>
      <c r="AE2094" s="237"/>
      <c r="AF2094" s="237"/>
      <c r="AG2094" s="237"/>
      <c r="AH2094" s="237"/>
      <c r="AJ2094" s="238"/>
    </row>
    <row r="2095" spans="1:39" ht="12.75" x14ac:dyDescent="0.2">
      <c r="AL2095" s="226"/>
      <c r="AM2095" s="226"/>
    </row>
    <row r="2096" spans="1:39" ht="12.75" x14ac:dyDescent="0.2">
      <c r="A2096" s="236"/>
      <c r="B2096" s="236"/>
      <c r="C2096" s="236"/>
      <c r="D2096" s="236"/>
      <c r="E2096" s="237"/>
      <c r="G2096" s="237"/>
      <c r="H2096" s="237"/>
      <c r="I2096" s="237"/>
      <c r="K2096" s="237"/>
      <c r="N2096" s="237"/>
      <c r="O2096" s="237"/>
      <c r="P2096" s="237"/>
      <c r="Q2096" s="237"/>
      <c r="AL2096" s="226"/>
      <c r="AM2096" s="226"/>
    </row>
    <row r="2097" spans="1:39" x14ac:dyDescent="0.25">
      <c r="AA2097" s="237"/>
      <c r="AB2097" s="237"/>
      <c r="AC2097" s="237"/>
      <c r="AD2097" s="237"/>
      <c r="AE2097" s="237"/>
      <c r="AF2097" s="237"/>
      <c r="AG2097" s="237"/>
      <c r="AH2097" s="237"/>
      <c r="AJ2097" s="238"/>
    </row>
    <row r="2098" spans="1:39" x14ac:dyDescent="0.25">
      <c r="AA2098" s="237"/>
      <c r="AB2098" s="237"/>
      <c r="AC2098" s="237"/>
      <c r="AD2098" s="237"/>
      <c r="AE2098" s="237"/>
      <c r="AF2098" s="237"/>
      <c r="AG2098" s="237"/>
      <c r="AH2098" s="237"/>
      <c r="AJ2098" s="238"/>
    </row>
    <row r="2099" spans="1:39" ht="12.75" x14ac:dyDescent="0.2">
      <c r="AL2099" s="226"/>
      <c r="AM2099" s="226"/>
    </row>
    <row r="2100" spans="1:39" ht="12.75" x14ac:dyDescent="0.2">
      <c r="A2100" s="236"/>
      <c r="B2100" s="236"/>
      <c r="C2100" s="236"/>
      <c r="D2100" s="236"/>
      <c r="E2100" s="237"/>
      <c r="G2100" s="237"/>
      <c r="H2100" s="237"/>
      <c r="I2100" s="237"/>
      <c r="K2100" s="237"/>
      <c r="N2100" s="237"/>
      <c r="O2100" s="237"/>
      <c r="P2100" s="237"/>
      <c r="Q2100" s="237"/>
      <c r="AL2100" s="226"/>
      <c r="AM2100" s="226"/>
    </row>
    <row r="2101" spans="1:39" x14ac:dyDescent="0.25">
      <c r="AA2101" s="237"/>
      <c r="AB2101" s="237"/>
      <c r="AC2101" s="237"/>
      <c r="AD2101" s="237"/>
      <c r="AE2101" s="237"/>
      <c r="AF2101" s="237"/>
      <c r="AG2101" s="237"/>
      <c r="AH2101" s="237"/>
      <c r="AJ2101" s="238"/>
    </row>
    <row r="2102" spans="1:39" x14ac:dyDescent="0.25">
      <c r="AA2102" s="237"/>
      <c r="AB2102" s="237"/>
      <c r="AC2102" s="237"/>
      <c r="AD2102" s="237"/>
      <c r="AE2102" s="237"/>
      <c r="AF2102" s="237"/>
      <c r="AG2102" s="237"/>
      <c r="AH2102" s="237"/>
      <c r="AJ2102" s="238"/>
    </row>
    <row r="2103" spans="1:39" x14ac:dyDescent="0.25">
      <c r="AA2103" s="237"/>
      <c r="AB2103" s="237"/>
      <c r="AC2103" s="237"/>
      <c r="AD2103" s="237"/>
      <c r="AE2103" s="237"/>
      <c r="AF2103" s="237"/>
      <c r="AG2103" s="237"/>
      <c r="AH2103" s="237"/>
      <c r="AJ2103" s="238"/>
    </row>
    <row r="2104" spans="1:39" x14ac:dyDescent="0.25">
      <c r="AA2104" s="237"/>
      <c r="AB2104" s="237"/>
      <c r="AC2104" s="237"/>
      <c r="AD2104" s="237"/>
      <c r="AE2104" s="237"/>
      <c r="AF2104" s="237"/>
      <c r="AG2104" s="237"/>
      <c r="AH2104" s="237"/>
      <c r="AJ2104" s="238"/>
    </row>
    <row r="2105" spans="1:39" ht="12.75" x14ac:dyDescent="0.2">
      <c r="AL2105" s="226"/>
      <c r="AM2105" s="226"/>
    </row>
    <row r="2106" spans="1:39" ht="12.75" x14ac:dyDescent="0.2">
      <c r="A2106" s="236"/>
      <c r="B2106" s="236"/>
      <c r="C2106" s="236"/>
      <c r="D2106" s="236"/>
      <c r="E2106" s="237"/>
      <c r="G2106" s="237"/>
      <c r="H2106" s="237"/>
      <c r="I2106" s="237"/>
      <c r="K2106" s="237"/>
      <c r="N2106" s="237"/>
      <c r="O2106" s="237"/>
      <c r="P2106" s="237"/>
      <c r="Q2106" s="237"/>
      <c r="AL2106" s="226"/>
      <c r="AM2106" s="226"/>
    </row>
    <row r="2107" spans="1:39" x14ac:dyDescent="0.25">
      <c r="AA2107" s="237"/>
      <c r="AB2107" s="237"/>
      <c r="AC2107" s="237"/>
      <c r="AD2107" s="237"/>
      <c r="AE2107" s="237"/>
      <c r="AF2107" s="237"/>
      <c r="AG2107" s="237"/>
      <c r="AH2107" s="237"/>
      <c r="AJ2107" s="238"/>
    </row>
    <row r="2108" spans="1:39" x14ac:dyDescent="0.25">
      <c r="AA2108" s="237"/>
      <c r="AB2108" s="237"/>
      <c r="AC2108" s="237"/>
      <c r="AD2108" s="237"/>
      <c r="AE2108" s="237"/>
      <c r="AF2108" s="237"/>
      <c r="AG2108" s="237"/>
      <c r="AH2108" s="237"/>
      <c r="AJ2108" s="238"/>
    </row>
    <row r="2109" spans="1:39" x14ac:dyDescent="0.25">
      <c r="AA2109" s="237"/>
      <c r="AB2109" s="237"/>
      <c r="AC2109" s="237"/>
      <c r="AD2109" s="237"/>
      <c r="AE2109" s="237"/>
      <c r="AF2109" s="237"/>
      <c r="AG2109" s="237"/>
      <c r="AH2109" s="237"/>
      <c r="AJ2109" s="238"/>
    </row>
    <row r="2110" spans="1:39" x14ac:dyDescent="0.25">
      <c r="AA2110" s="237"/>
      <c r="AB2110" s="237"/>
      <c r="AC2110" s="237"/>
      <c r="AD2110" s="237"/>
      <c r="AE2110" s="237"/>
      <c r="AF2110" s="237"/>
      <c r="AG2110" s="237"/>
      <c r="AH2110" s="237"/>
      <c r="AJ2110" s="238"/>
    </row>
    <row r="2111" spans="1:39" x14ac:dyDescent="0.25">
      <c r="AA2111" s="237"/>
      <c r="AB2111" s="237"/>
      <c r="AC2111" s="237"/>
      <c r="AD2111" s="237"/>
      <c r="AE2111" s="237"/>
      <c r="AF2111" s="237"/>
      <c r="AG2111" s="237"/>
      <c r="AH2111" s="237"/>
      <c r="AJ2111" s="238"/>
    </row>
    <row r="2112" spans="1:39" x14ac:dyDescent="0.25">
      <c r="AA2112" s="237"/>
      <c r="AB2112" s="237"/>
      <c r="AC2112" s="237"/>
      <c r="AD2112" s="237"/>
      <c r="AE2112" s="237"/>
      <c r="AF2112" s="237"/>
      <c r="AG2112" s="237"/>
      <c r="AH2112" s="237"/>
      <c r="AJ2112" s="238"/>
    </row>
    <row r="2113" spans="1:39" x14ac:dyDescent="0.25">
      <c r="AA2113" s="237"/>
      <c r="AB2113" s="237"/>
      <c r="AC2113" s="237"/>
      <c r="AD2113" s="237"/>
      <c r="AE2113" s="237"/>
      <c r="AF2113" s="237"/>
      <c r="AG2113" s="237"/>
      <c r="AH2113" s="237"/>
      <c r="AJ2113" s="238"/>
    </row>
    <row r="2114" spans="1:39" ht="12.75" x14ac:dyDescent="0.2">
      <c r="AL2114" s="226"/>
      <c r="AM2114" s="226"/>
    </row>
    <row r="2115" spans="1:39" ht="12.75" x14ac:dyDescent="0.2">
      <c r="A2115" s="236"/>
      <c r="B2115" s="236"/>
      <c r="C2115" s="236"/>
      <c r="D2115" s="236"/>
      <c r="E2115" s="237"/>
      <c r="G2115" s="237"/>
      <c r="H2115" s="237"/>
      <c r="I2115" s="237"/>
      <c r="K2115" s="237"/>
      <c r="N2115" s="237"/>
      <c r="O2115" s="237"/>
      <c r="P2115" s="237"/>
      <c r="Q2115" s="237"/>
      <c r="AL2115" s="226"/>
      <c r="AM2115" s="226"/>
    </row>
    <row r="2116" spans="1:39" x14ac:dyDescent="0.25">
      <c r="AA2116" s="237"/>
      <c r="AB2116" s="237"/>
      <c r="AC2116" s="237"/>
      <c r="AD2116" s="237"/>
      <c r="AE2116" s="237"/>
      <c r="AF2116" s="237"/>
      <c r="AG2116" s="237"/>
      <c r="AH2116" s="237"/>
      <c r="AJ2116" s="238"/>
    </row>
    <row r="2117" spans="1:39" ht="12.75" x14ac:dyDescent="0.2">
      <c r="AL2117" s="226"/>
      <c r="AM2117" s="226"/>
    </row>
    <row r="2118" spans="1:39" ht="12.75" x14ac:dyDescent="0.2">
      <c r="A2118" s="236"/>
      <c r="B2118" s="236"/>
      <c r="C2118" s="236"/>
      <c r="D2118" s="236"/>
      <c r="E2118" s="237"/>
      <c r="G2118" s="237"/>
      <c r="H2118" s="237"/>
      <c r="I2118" s="237"/>
      <c r="K2118" s="237"/>
      <c r="N2118" s="237"/>
      <c r="O2118" s="237"/>
      <c r="P2118" s="237"/>
      <c r="Q2118" s="237"/>
      <c r="AL2118" s="226"/>
      <c r="AM2118" s="226"/>
    </row>
    <row r="2119" spans="1:39" x14ac:dyDescent="0.25">
      <c r="AA2119" s="237"/>
      <c r="AB2119" s="237"/>
      <c r="AC2119" s="237"/>
      <c r="AD2119" s="237"/>
      <c r="AE2119" s="237"/>
      <c r="AF2119" s="237"/>
      <c r="AG2119" s="237"/>
      <c r="AH2119" s="237"/>
      <c r="AJ2119" s="238"/>
    </row>
    <row r="2120" spans="1:39" ht="12.75" x14ac:dyDescent="0.2">
      <c r="AL2120" s="226"/>
      <c r="AM2120" s="226"/>
    </row>
    <row r="2121" spans="1:39" ht="12.75" x14ac:dyDescent="0.2">
      <c r="A2121" s="236"/>
      <c r="B2121" s="236"/>
      <c r="C2121" s="236"/>
      <c r="D2121" s="236"/>
      <c r="E2121" s="237"/>
      <c r="G2121" s="237"/>
      <c r="H2121" s="237"/>
      <c r="I2121" s="237"/>
      <c r="K2121" s="237"/>
      <c r="N2121" s="237"/>
      <c r="O2121" s="237"/>
      <c r="P2121" s="237"/>
      <c r="Q2121" s="237"/>
      <c r="AL2121" s="226"/>
      <c r="AM2121" s="226"/>
    </row>
    <row r="2122" spans="1:39" x14ac:dyDescent="0.25">
      <c r="AA2122" s="237"/>
      <c r="AB2122" s="237"/>
      <c r="AC2122" s="237"/>
      <c r="AD2122" s="237"/>
      <c r="AE2122" s="237"/>
      <c r="AF2122" s="237"/>
      <c r="AG2122" s="237"/>
      <c r="AH2122" s="237"/>
      <c r="AJ2122" s="238"/>
    </row>
    <row r="2123" spans="1:39" ht="12.75" x14ac:dyDescent="0.2">
      <c r="AL2123" s="226"/>
      <c r="AM2123" s="226"/>
    </row>
    <row r="2124" spans="1:39" ht="12.75" x14ac:dyDescent="0.2">
      <c r="A2124" s="236"/>
      <c r="B2124" s="236"/>
      <c r="C2124" s="236"/>
      <c r="D2124" s="236"/>
      <c r="E2124" s="237"/>
      <c r="G2124" s="237"/>
      <c r="H2124" s="237"/>
      <c r="I2124" s="237"/>
      <c r="K2124" s="237"/>
      <c r="N2124" s="237"/>
      <c r="O2124" s="237"/>
      <c r="P2124" s="237"/>
      <c r="Q2124" s="237"/>
      <c r="AL2124" s="226"/>
      <c r="AM2124" s="226"/>
    </row>
    <row r="2125" spans="1:39" x14ac:dyDescent="0.25">
      <c r="AA2125" s="237"/>
      <c r="AB2125" s="237"/>
      <c r="AC2125" s="237"/>
      <c r="AD2125" s="237"/>
      <c r="AE2125" s="237"/>
      <c r="AF2125" s="237"/>
      <c r="AG2125" s="237"/>
      <c r="AH2125" s="237"/>
      <c r="AJ2125" s="238"/>
    </row>
    <row r="2126" spans="1:39" x14ac:dyDescent="0.25">
      <c r="AA2126" s="237"/>
      <c r="AB2126" s="237"/>
      <c r="AC2126" s="237"/>
      <c r="AD2126" s="237"/>
      <c r="AE2126" s="237"/>
      <c r="AF2126" s="237"/>
      <c r="AG2126" s="237"/>
      <c r="AH2126" s="237"/>
      <c r="AJ2126" s="238"/>
    </row>
    <row r="2127" spans="1:39" x14ac:dyDescent="0.25">
      <c r="AA2127" s="237"/>
      <c r="AB2127" s="237"/>
      <c r="AC2127" s="237"/>
      <c r="AD2127" s="237"/>
      <c r="AE2127" s="237"/>
      <c r="AF2127" s="237"/>
      <c r="AG2127" s="237"/>
      <c r="AH2127" s="237"/>
      <c r="AJ2127" s="238"/>
    </row>
    <row r="2128" spans="1:39" x14ac:dyDescent="0.25">
      <c r="AA2128" s="237"/>
      <c r="AB2128" s="237"/>
      <c r="AC2128" s="237"/>
      <c r="AD2128" s="237"/>
      <c r="AE2128" s="237"/>
      <c r="AF2128" s="237"/>
      <c r="AG2128" s="237"/>
      <c r="AH2128" s="237"/>
      <c r="AJ2128" s="238"/>
    </row>
    <row r="2129" spans="1:39" x14ac:dyDescent="0.25">
      <c r="AA2129" s="237"/>
      <c r="AB2129" s="237"/>
      <c r="AC2129" s="237"/>
      <c r="AD2129" s="237"/>
      <c r="AE2129" s="237"/>
      <c r="AF2129" s="237"/>
      <c r="AG2129" s="237"/>
      <c r="AH2129" s="237"/>
      <c r="AJ2129" s="238"/>
    </row>
    <row r="2130" spans="1:39" x14ac:dyDescent="0.25">
      <c r="AA2130" s="237"/>
      <c r="AB2130" s="237"/>
      <c r="AC2130" s="237"/>
      <c r="AD2130" s="237"/>
      <c r="AE2130" s="237"/>
      <c r="AF2130" s="237"/>
      <c r="AG2130" s="237"/>
      <c r="AH2130" s="237"/>
      <c r="AJ2130" s="238"/>
    </row>
    <row r="2131" spans="1:39" ht="12.75" x14ac:dyDescent="0.2">
      <c r="AL2131" s="226"/>
      <c r="AM2131" s="226"/>
    </row>
    <row r="2132" spans="1:39" ht="12.75" x14ac:dyDescent="0.2">
      <c r="A2132" s="236"/>
      <c r="B2132" s="236"/>
      <c r="C2132" s="236"/>
      <c r="D2132" s="236"/>
      <c r="E2132" s="237"/>
      <c r="G2132" s="237"/>
      <c r="H2132" s="237"/>
      <c r="I2132" s="237"/>
      <c r="K2132" s="237"/>
      <c r="N2132" s="237"/>
      <c r="O2132" s="237"/>
      <c r="P2132" s="237"/>
      <c r="Q2132" s="237"/>
      <c r="AL2132" s="226"/>
      <c r="AM2132" s="226"/>
    </row>
    <row r="2133" spans="1:39" x14ac:dyDescent="0.25">
      <c r="AA2133" s="237"/>
      <c r="AB2133" s="237"/>
      <c r="AC2133" s="237"/>
      <c r="AD2133" s="237"/>
      <c r="AE2133" s="237"/>
      <c r="AF2133" s="237"/>
      <c r="AG2133" s="237"/>
      <c r="AH2133" s="237"/>
      <c r="AJ2133" s="238"/>
    </row>
    <row r="2134" spans="1:39" ht="12.75" x14ac:dyDescent="0.2">
      <c r="AL2134" s="226"/>
      <c r="AM2134" s="226"/>
    </row>
    <row r="2135" spans="1:39" ht="12.75" x14ac:dyDescent="0.2">
      <c r="A2135" s="236"/>
      <c r="B2135" s="236"/>
      <c r="C2135" s="236"/>
      <c r="D2135" s="236"/>
      <c r="E2135" s="237"/>
      <c r="G2135" s="237"/>
      <c r="H2135" s="237"/>
      <c r="I2135" s="237"/>
      <c r="K2135" s="237"/>
      <c r="N2135" s="237"/>
      <c r="O2135" s="237"/>
      <c r="P2135" s="237"/>
      <c r="Q2135" s="237"/>
      <c r="AL2135" s="226"/>
      <c r="AM2135" s="226"/>
    </row>
    <row r="2136" spans="1:39" x14ac:dyDescent="0.25">
      <c r="AA2136" s="237"/>
      <c r="AB2136" s="237"/>
      <c r="AC2136" s="237"/>
      <c r="AD2136" s="237"/>
      <c r="AE2136" s="237"/>
      <c r="AF2136" s="237"/>
      <c r="AG2136" s="237"/>
      <c r="AH2136" s="237"/>
      <c r="AJ2136" s="238"/>
    </row>
    <row r="2137" spans="1:39" x14ac:dyDescent="0.25">
      <c r="AA2137" s="237"/>
      <c r="AB2137" s="237"/>
      <c r="AC2137" s="237"/>
      <c r="AD2137" s="237"/>
      <c r="AE2137" s="237"/>
      <c r="AF2137" s="237"/>
      <c r="AG2137" s="237"/>
      <c r="AH2137" s="237"/>
      <c r="AJ2137" s="238"/>
    </row>
    <row r="2138" spans="1:39" ht="12.75" x14ac:dyDescent="0.2">
      <c r="AL2138" s="226"/>
      <c r="AM2138" s="226"/>
    </row>
    <row r="2139" spans="1:39" ht="12.75" x14ac:dyDescent="0.2">
      <c r="A2139" s="236"/>
      <c r="B2139" s="236"/>
      <c r="C2139" s="236"/>
      <c r="D2139" s="236"/>
      <c r="E2139" s="237"/>
      <c r="G2139" s="237"/>
      <c r="H2139" s="237"/>
      <c r="I2139" s="237"/>
      <c r="K2139" s="237"/>
      <c r="N2139" s="237"/>
      <c r="O2139" s="237"/>
      <c r="P2139" s="237"/>
      <c r="Q2139" s="237"/>
      <c r="AL2139" s="226"/>
      <c r="AM2139" s="226"/>
    </row>
    <row r="2140" spans="1:39" x14ac:dyDescent="0.25">
      <c r="AA2140" s="237"/>
      <c r="AB2140" s="237"/>
      <c r="AC2140" s="237"/>
      <c r="AD2140" s="237"/>
      <c r="AE2140" s="237"/>
      <c r="AF2140" s="237"/>
      <c r="AG2140" s="237"/>
      <c r="AH2140" s="237"/>
      <c r="AJ2140" s="238"/>
    </row>
    <row r="2141" spans="1:39" ht="12.75" x14ac:dyDescent="0.2">
      <c r="AL2141" s="226"/>
      <c r="AM2141" s="226"/>
    </row>
    <row r="2142" spans="1:39" ht="12.75" x14ac:dyDescent="0.2">
      <c r="A2142" s="236"/>
      <c r="B2142" s="236"/>
      <c r="C2142" s="236"/>
      <c r="D2142" s="236"/>
      <c r="E2142" s="237"/>
      <c r="G2142" s="237"/>
      <c r="H2142" s="237"/>
      <c r="I2142" s="237"/>
      <c r="K2142" s="237"/>
      <c r="N2142" s="237"/>
      <c r="O2142" s="237"/>
      <c r="P2142" s="237"/>
      <c r="Q2142" s="237"/>
      <c r="AL2142" s="226"/>
      <c r="AM2142" s="226"/>
    </row>
    <row r="2143" spans="1:39" x14ac:dyDescent="0.25">
      <c r="AA2143" s="237"/>
      <c r="AB2143" s="237"/>
      <c r="AC2143" s="237"/>
      <c r="AD2143" s="237"/>
      <c r="AE2143" s="237"/>
      <c r="AF2143" s="237"/>
      <c r="AG2143" s="237"/>
      <c r="AH2143" s="237"/>
      <c r="AJ2143" s="238"/>
    </row>
    <row r="2144" spans="1:39" ht="12.75" x14ac:dyDescent="0.2">
      <c r="AL2144" s="226"/>
      <c r="AM2144" s="226"/>
    </row>
    <row r="2145" spans="1:39" ht="12.75" x14ac:dyDescent="0.2">
      <c r="A2145" s="236"/>
      <c r="B2145" s="236"/>
      <c r="C2145" s="236"/>
      <c r="D2145" s="236"/>
      <c r="E2145" s="237"/>
      <c r="G2145" s="237"/>
      <c r="H2145" s="237"/>
      <c r="I2145" s="237"/>
      <c r="K2145" s="237"/>
      <c r="N2145" s="237"/>
      <c r="O2145" s="237"/>
      <c r="P2145" s="237"/>
      <c r="Q2145" s="237"/>
      <c r="AL2145" s="226"/>
      <c r="AM2145" s="226"/>
    </row>
    <row r="2146" spans="1:39" x14ac:dyDescent="0.25">
      <c r="AA2146" s="237"/>
      <c r="AB2146" s="237"/>
      <c r="AC2146" s="237"/>
      <c r="AD2146" s="237"/>
      <c r="AE2146" s="237"/>
      <c r="AF2146" s="237"/>
      <c r="AG2146" s="237"/>
      <c r="AH2146" s="237"/>
      <c r="AJ2146" s="238"/>
    </row>
    <row r="2147" spans="1:39" ht="12.75" x14ac:dyDescent="0.2">
      <c r="AL2147" s="226"/>
      <c r="AM2147" s="226"/>
    </row>
    <row r="2148" spans="1:39" ht="12.75" x14ac:dyDescent="0.2">
      <c r="A2148" s="236"/>
      <c r="B2148" s="236"/>
      <c r="C2148" s="236"/>
      <c r="D2148" s="236"/>
      <c r="E2148" s="237"/>
      <c r="G2148" s="237"/>
      <c r="H2148" s="237"/>
      <c r="I2148" s="237"/>
      <c r="K2148" s="237"/>
      <c r="N2148" s="237"/>
      <c r="O2148" s="237"/>
      <c r="P2148" s="237"/>
      <c r="Q2148" s="237"/>
      <c r="AL2148" s="226"/>
      <c r="AM2148" s="226"/>
    </row>
    <row r="2149" spans="1:39" x14ac:dyDescent="0.25">
      <c r="AA2149" s="237"/>
      <c r="AB2149" s="237"/>
      <c r="AC2149" s="237"/>
      <c r="AD2149" s="237"/>
      <c r="AE2149" s="237"/>
      <c r="AF2149" s="237"/>
      <c r="AG2149" s="237"/>
      <c r="AH2149" s="237"/>
      <c r="AJ2149" s="238"/>
    </row>
    <row r="2150" spans="1:39" x14ac:dyDescent="0.25">
      <c r="AA2150" s="237"/>
      <c r="AB2150" s="237"/>
      <c r="AC2150" s="237"/>
      <c r="AD2150" s="237"/>
      <c r="AE2150" s="237"/>
      <c r="AF2150" s="237"/>
      <c r="AG2150" s="237"/>
      <c r="AH2150" s="237"/>
      <c r="AJ2150" s="238"/>
    </row>
    <row r="2151" spans="1:39" ht="12.75" x14ac:dyDescent="0.2">
      <c r="AL2151" s="226"/>
      <c r="AM2151" s="226"/>
    </row>
    <row r="2152" spans="1:39" ht="12.75" x14ac:dyDescent="0.2">
      <c r="A2152" s="236"/>
      <c r="B2152" s="236"/>
      <c r="C2152" s="236"/>
      <c r="D2152" s="236"/>
      <c r="E2152" s="237"/>
      <c r="G2152" s="237"/>
      <c r="H2152" s="237"/>
      <c r="I2152" s="237"/>
      <c r="K2152" s="237"/>
      <c r="N2152" s="237"/>
      <c r="O2152" s="237"/>
      <c r="P2152" s="237"/>
      <c r="Q2152" s="237"/>
      <c r="AL2152" s="226"/>
      <c r="AM2152" s="226"/>
    </row>
    <row r="2153" spans="1:39" x14ac:dyDescent="0.25">
      <c r="AA2153" s="237"/>
      <c r="AB2153" s="237"/>
      <c r="AC2153" s="237"/>
      <c r="AD2153" s="237"/>
      <c r="AE2153" s="237"/>
      <c r="AF2153" s="237"/>
      <c r="AG2153" s="237"/>
      <c r="AH2153" s="237"/>
      <c r="AJ2153" s="238"/>
    </row>
    <row r="2154" spans="1:39" x14ac:dyDescent="0.25">
      <c r="AA2154" s="237"/>
      <c r="AB2154" s="237"/>
      <c r="AC2154" s="237"/>
      <c r="AD2154" s="237"/>
      <c r="AE2154" s="237"/>
      <c r="AF2154" s="237"/>
      <c r="AG2154" s="237"/>
      <c r="AH2154" s="237"/>
      <c r="AJ2154" s="238"/>
    </row>
    <row r="2155" spans="1:39" x14ac:dyDescent="0.25">
      <c r="AA2155" s="237"/>
      <c r="AB2155" s="237"/>
      <c r="AC2155" s="237"/>
      <c r="AD2155" s="237"/>
      <c r="AE2155" s="237"/>
      <c r="AF2155" s="237"/>
      <c r="AG2155" s="237"/>
      <c r="AH2155" s="237"/>
      <c r="AJ2155" s="238"/>
    </row>
    <row r="2156" spans="1:39" x14ac:dyDescent="0.25">
      <c r="AA2156" s="237"/>
      <c r="AB2156" s="237"/>
      <c r="AC2156" s="237"/>
      <c r="AD2156" s="237"/>
      <c r="AE2156" s="237"/>
      <c r="AF2156" s="237"/>
      <c r="AG2156" s="237"/>
      <c r="AH2156" s="237"/>
      <c r="AJ2156" s="238"/>
    </row>
    <row r="2157" spans="1:39" x14ac:dyDescent="0.25">
      <c r="AA2157" s="237"/>
      <c r="AB2157" s="237"/>
      <c r="AC2157" s="237"/>
      <c r="AD2157" s="237"/>
      <c r="AE2157" s="237"/>
      <c r="AF2157" s="237"/>
      <c r="AG2157" s="237"/>
      <c r="AH2157" s="237"/>
      <c r="AJ2157" s="238"/>
    </row>
    <row r="2158" spans="1:39" ht="12.75" x14ac:dyDescent="0.2">
      <c r="AL2158" s="226"/>
      <c r="AM2158" s="226"/>
    </row>
    <row r="2159" spans="1:39" ht="12.75" x14ac:dyDescent="0.2">
      <c r="A2159" s="236"/>
      <c r="B2159" s="236"/>
      <c r="C2159" s="236"/>
      <c r="D2159" s="236"/>
      <c r="E2159" s="237"/>
      <c r="G2159" s="237"/>
      <c r="H2159" s="237"/>
      <c r="I2159" s="237"/>
      <c r="K2159" s="237"/>
      <c r="N2159" s="237"/>
      <c r="O2159" s="237"/>
      <c r="P2159" s="237"/>
      <c r="Q2159" s="237"/>
      <c r="AL2159" s="226"/>
      <c r="AM2159" s="226"/>
    </row>
    <row r="2160" spans="1:39" x14ac:dyDescent="0.25">
      <c r="AA2160" s="237"/>
      <c r="AB2160" s="237"/>
      <c r="AC2160" s="237"/>
      <c r="AD2160" s="237"/>
      <c r="AE2160" s="237"/>
      <c r="AF2160" s="237"/>
      <c r="AG2160" s="237"/>
      <c r="AH2160" s="237"/>
      <c r="AJ2160" s="238"/>
    </row>
    <row r="2161" spans="1:39" ht="12.75" x14ac:dyDescent="0.2">
      <c r="AL2161" s="226"/>
      <c r="AM2161" s="226"/>
    </row>
    <row r="2162" spans="1:39" ht="12.75" x14ac:dyDescent="0.2">
      <c r="A2162" s="236"/>
      <c r="B2162" s="236"/>
      <c r="C2162" s="236"/>
      <c r="D2162" s="236"/>
      <c r="E2162" s="237"/>
      <c r="G2162" s="237"/>
      <c r="H2162" s="237"/>
      <c r="I2162" s="237"/>
      <c r="K2162" s="237"/>
      <c r="N2162" s="237"/>
      <c r="O2162" s="237"/>
      <c r="P2162" s="237"/>
      <c r="Q2162" s="237"/>
      <c r="AL2162" s="226"/>
      <c r="AM2162" s="226"/>
    </row>
    <row r="2163" spans="1:39" x14ac:dyDescent="0.25">
      <c r="AA2163" s="237"/>
      <c r="AB2163" s="237"/>
      <c r="AC2163" s="237"/>
      <c r="AD2163" s="237"/>
      <c r="AE2163" s="237"/>
      <c r="AF2163" s="237"/>
      <c r="AG2163" s="237"/>
      <c r="AH2163" s="237"/>
      <c r="AJ2163" s="238"/>
    </row>
    <row r="2164" spans="1:39" ht="12.75" x14ac:dyDescent="0.2">
      <c r="AL2164" s="226"/>
      <c r="AM2164" s="226"/>
    </row>
    <row r="2165" spans="1:39" ht="12.75" x14ac:dyDescent="0.2">
      <c r="A2165" s="236"/>
      <c r="B2165" s="236"/>
      <c r="C2165" s="236"/>
      <c r="D2165" s="236"/>
      <c r="E2165" s="237"/>
      <c r="G2165" s="237"/>
      <c r="H2165" s="237"/>
      <c r="I2165" s="237"/>
      <c r="K2165" s="237"/>
      <c r="N2165" s="237"/>
      <c r="O2165" s="237"/>
      <c r="P2165" s="237"/>
      <c r="Q2165" s="237"/>
      <c r="AL2165" s="226"/>
      <c r="AM2165" s="226"/>
    </row>
    <row r="2166" spans="1:39" x14ac:dyDescent="0.25">
      <c r="AA2166" s="237"/>
      <c r="AB2166" s="237"/>
      <c r="AC2166" s="237"/>
      <c r="AD2166" s="237"/>
      <c r="AE2166" s="237"/>
      <c r="AF2166" s="237"/>
      <c r="AG2166" s="237"/>
      <c r="AH2166" s="237"/>
      <c r="AJ2166" s="238"/>
    </row>
    <row r="2167" spans="1:39" ht="12.75" x14ac:dyDescent="0.2">
      <c r="AL2167" s="226"/>
      <c r="AM2167" s="226"/>
    </row>
    <row r="2168" spans="1:39" ht="12.75" x14ac:dyDescent="0.2">
      <c r="A2168" s="236"/>
      <c r="B2168" s="236"/>
      <c r="C2168" s="236"/>
      <c r="D2168" s="236"/>
      <c r="E2168" s="237"/>
      <c r="G2168" s="237"/>
      <c r="H2168" s="237"/>
      <c r="I2168" s="237"/>
      <c r="K2168" s="237"/>
      <c r="N2168" s="237"/>
      <c r="O2168" s="237"/>
      <c r="P2168" s="237"/>
      <c r="Q2168" s="237"/>
      <c r="AL2168" s="226"/>
      <c r="AM2168" s="226"/>
    </row>
    <row r="2169" spans="1:39" x14ac:dyDescent="0.25">
      <c r="AA2169" s="237"/>
      <c r="AB2169" s="237"/>
      <c r="AC2169" s="237"/>
      <c r="AD2169" s="237"/>
      <c r="AE2169" s="237"/>
      <c r="AF2169" s="237"/>
      <c r="AG2169" s="237"/>
      <c r="AH2169" s="237"/>
      <c r="AJ2169" s="238"/>
    </row>
    <row r="2170" spans="1:39" ht="12.75" x14ac:dyDescent="0.2">
      <c r="AL2170" s="226"/>
      <c r="AM2170" s="226"/>
    </row>
    <row r="2171" spans="1:39" ht="12.75" x14ac:dyDescent="0.2">
      <c r="A2171" s="236"/>
      <c r="B2171" s="236"/>
      <c r="C2171" s="236"/>
      <c r="D2171" s="236"/>
      <c r="E2171" s="237"/>
      <c r="G2171" s="237"/>
      <c r="H2171" s="237"/>
      <c r="I2171" s="237"/>
      <c r="K2171" s="237"/>
      <c r="N2171" s="237"/>
      <c r="O2171" s="237"/>
      <c r="P2171" s="237"/>
      <c r="Q2171" s="237"/>
      <c r="AL2171" s="226"/>
      <c r="AM2171" s="226"/>
    </row>
    <row r="2172" spans="1:39" x14ac:dyDescent="0.25">
      <c r="AA2172" s="237"/>
      <c r="AB2172" s="237"/>
      <c r="AC2172" s="237"/>
      <c r="AD2172" s="237"/>
      <c r="AE2172" s="237"/>
      <c r="AF2172" s="237"/>
      <c r="AG2172" s="237"/>
      <c r="AH2172" s="237"/>
      <c r="AJ2172" s="238"/>
    </row>
    <row r="2173" spans="1:39" x14ac:dyDescent="0.25">
      <c r="AA2173" s="237"/>
      <c r="AB2173" s="237"/>
      <c r="AC2173" s="237"/>
      <c r="AD2173" s="237"/>
      <c r="AE2173" s="237"/>
      <c r="AF2173" s="237"/>
      <c r="AG2173" s="237"/>
      <c r="AH2173" s="237"/>
      <c r="AJ2173" s="238"/>
    </row>
    <row r="2174" spans="1:39" x14ac:dyDescent="0.25">
      <c r="AA2174" s="237"/>
      <c r="AB2174" s="237"/>
      <c r="AC2174" s="237"/>
      <c r="AD2174" s="237"/>
      <c r="AE2174" s="237"/>
      <c r="AF2174" s="237"/>
      <c r="AG2174" s="237"/>
      <c r="AH2174" s="237"/>
      <c r="AJ2174" s="238"/>
    </row>
    <row r="2175" spans="1:39" x14ac:dyDescent="0.25">
      <c r="AA2175" s="237"/>
      <c r="AB2175" s="237"/>
      <c r="AC2175" s="237"/>
      <c r="AD2175" s="237"/>
      <c r="AE2175" s="237"/>
      <c r="AF2175" s="237"/>
      <c r="AG2175" s="237"/>
      <c r="AH2175" s="237"/>
      <c r="AJ2175" s="238"/>
    </row>
    <row r="2176" spans="1:39" x14ac:dyDescent="0.25">
      <c r="AA2176" s="237"/>
      <c r="AB2176" s="237"/>
      <c r="AC2176" s="237"/>
      <c r="AD2176" s="237"/>
      <c r="AE2176" s="237"/>
      <c r="AF2176" s="237"/>
      <c r="AG2176" s="237"/>
      <c r="AH2176" s="237"/>
      <c r="AJ2176" s="238"/>
    </row>
    <row r="2177" spans="1:39" x14ac:dyDescent="0.25">
      <c r="AA2177" s="237"/>
      <c r="AB2177" s="237"/>
      <c r="AC2177" s="237"/>
      <c r="AD2177" s="237"/>
      <c r="AE2177" s="237"/>
      <c r="AF2177" s="237"/>
      <c r="AG2177" s="237"/>
      <c r="AH2177" s="237"/>
      <c r="AJ2177" s="238"/>
    </row>
    <row r="2178" spans="1:39" x14ac:dyDescent="0.25">
      <c r="AA2178" s="237"/>
      <c r="AB2178" s="237"/>
      <c r="AC2178" s="237"/>
      <c r="AD2178" s="237"/>
      <c r="AE2178" s="237"/>
      <c r="AF2178" s="237"/>
      <c r="AG2178" s="237"/>
      <c r="AH2178" s="237"/>
      <c r="AJ2178" s="238"/>
    </row>
    <row r="2179" spans="1:39" x14ac:dyDescent="0.25">
      <c r="AA2179" s="237"/>
      <c r="AB2179" s="237"/>
      <c r="AC2179" s="237"/>
      <c r="AD2179" s="237"/>
      <c r="AE2179" s="237"/>
      <c r="AF2179" s="237"/>
      <c r="AG2179" s="237"/>
      <c r="AH2179" s="237"/>
      <c r="AJ2179" s="238"/>
    </row>
    <row r="2180" spans="1:39" ht="12.75" x14ac:dyDescent="0.2">
      <c r="AL2180" s="226"/>
      <c r="AM2180" s="226"/>
    </row>
    <row r="2181" spans="1:39" ht="12.75" x14ac:dyDescent="0.2">
      <c r="A2181" s="236"/>
      <c r="B2181" s="236"/>
      <c r="C2181" s="236"/>
      <c r="D2181" s="236"/>
      <c r="E2181" s="237"/>
      <c r="G2181" s="237"/>
      <c r="H2181" s="237"/>
      <c r="I2181" s="237"/>
      <c r="K2181" s="237"/>
      <c r="N2181" s="237"/>
      <c r="O2181" s="237"/>
      <c r="P2181" s="237"/>
      <c r="Q2181" s="237"/>
      <c r="AL2181" s="226"/>
      <c r="AM2181" s="226"/>
    </row>
    <row r="2182" spans="1:39" x14ac:dyDescent="0.25">
      <c r="AA2182" s="237"/>
      <c r="AB2182" s="237"/>
      <c r="AC2182" s="237"/>
      <c r="AD2182" s="237"/>
      <c r="AE2182" s="237"/>
      <c r="AF2182" s="237"/>
      <c r="AG2182" s="237"/>
      <c r="AH2182" s="237"/>
      <c r="AJ2182" s="238"/>
    </row>
    <row r="2183" spans="1:39" x14ac:dyDescent="0.25">
      <c r="AA2183" s="237"/>
      <c r="AB2183" s="237"/>
      <c r="AC2183" s="237"/>
      <c r="AD2183" s="237"/>
      <c r="AE2183" s="237"/>
      <c r="AF2183" s="237"/>
      <c r="AG2183" s="237"/>
      <c r="AH2183" s="237"/>
      <c r="AJ2183" s="238"/>
    </row>
    <row r="2184" spans="1:39" x14ac:dyDescent="0.25">
      <c r="AA2184" s="237"/>
      <c r="AB2184" s="237"/>
      <c r="AC2184" s="237"/>
      <c r="AD2184" s="237"/>
      <c r="AE2184" s="237"/>
      <c r="AF2184" s="237"/>
      <c r="AG2184" s="237"/>
      <c r="AH2184" s="237"/>
      <c r="AJ2184" s="238"/>
    </row>
    <row r="2185" spans="1:39" x14ac:dyDescent="0.25">
      <c r="AA2185" s="237"/>
      <c r="AB2185" s="237"/>
      <c r="AC2185" s="237"/>
      <c r="AD2185" s="237"/>
      <c r="AE2185" s="237"/>
      <c r="AF2185" s="237"/>
      <c r="AG2185" s="237"/>
      <c r="AH2185" s="237"/>
      <c r="AJ2185" s="238"/>
    </row>
    <row r="2186" spans="1:39" x14ac:dyDescent="0.25">
      <c r="AA2186" s="237"/>
      <c r="AB2186" s="237"/>
      <c r="AC2186" s="237"/>
      <c r="AD2186" s="237"/>
      <c r="AE2186" s="237"/>
      <c r="AF2186" s="237"/>
      <c r="AG2186" s="237"/>
      <c r="AH2186" s="237"/>
      <c r="AJ2186" s="238"/>
    </row>
    <row r="2187" spans="1:39" ht="12.75" x14ac:dyDescent="0.2">
      <c r="AL2187" s="226"/>
      <c r="AM2187" s="226"/>
    </row>
    <row r="2188" spans="1:39" ht="12.75" x14ac:dyDescent="0.2">
      <c r="A2188" s="236"/>
      <c r="B2188" s="236"/>
      <c r="C2188" s="236"/>
      <c r="D2188" s="236"/>
      <c r="E2188" s="237"/>
      <c r="G2188" s="237"/>
      <c r="H2188" s="237"/>
      <c r="I2188" s="237"/>
      <c r="K2188" s="237"/>
      <c r="N2188" s="237"/>
      <c r="O2188" s="237"/>
      <c r="P2188" s="237"/>
      <c r="Q2188" s="237"/>
      <c r="AL2188" s="226"/>
      <c r="AM2188" s="226"/>
    </row>
    <row r="2189" spans="1:39" x14ac:dyDescent="0.25">
      <c r="AA2189" s="237"/>
      <c r="AB2189" s="237"/>
      <c r="AC2189" s="237"/>
      <c r="AD2189" s="237"/>
      <c r="AE2189" s="237"/>
      <c r="AF2189" s="237"/>
      <c r="AG2189" s="237"/>
      <c r="AH2189" s="237"/>
      <c r="AJ2189" s="238"/>
    </row>
    <row r="2190" spans="1:39" x14ac:dyDescent="0.25">
      <c r="AA2190" s="237"/>
      <c r="AB2190" s="237"/>
      <c r="AC2190" s="237"/>
      <c r="AD2190" s="237"/>
      <c r="AE2190" s="237"/>
      <c r="AF2190" s="237"/>
      <c r="AG2190" s="237"/>
      <c r="AH2190" s="237"/>
      <c r="AJ2190" s="238"/>
    </row>
    <row r="2191" spans="1:39" x14ac:dyDescent="0.25">
      <c r="AA2191" s="237"/>
      <c r="AB2191" s="237"/>
      <c r="AC2191" s="237"/>
      <c r="AD2191" s="237"/>
      <c r="AE2191" s="237"/>
      <c r="AF2191" s="237"/>
      <c r="AG2191" s="237"/>
      <c r="AH2191" s="237"/>
      <c r="AJ2191" s="238"/>
    </row>
    <row r="2192" spans="1:39" ht="12.75" x14ac:dyDescent="0.2">
      <c r="AL2192" s="226"/>
      <c r="AM2192" s="226"/>
    </row>
    <row r="2193" spans="1:39" ht="12.75" x14ac:dyDescent="0.2">
      <c r="A2193" s="236"/>
      <c r="B2193" s="236"/>
      <c r="C2193" s="236"/>
      <c r="D2193" s="236"/>
      <c r="E2193" s="237"/>
      <c r="G2193" s="237"/>
      <c r="H2193" s="237"/>
      <c r="I2193" s="237"/>
      <c r="K2193" s="237"/>
      <c r="N2193" s="237"/>
      <c r="O2193" s="237"/>
      <c r="P2193" s="237"/>
      <c r="Q2193" s="237"/>
      <c r="AL2193" s="226"/>
      <c r="AM2193" s="226"/>
    </row>
    <row r="2194" spans="1:39" x14ac:dyDescent="0.25">
      <c r="AA2194" s="237"/>
      <c r="AB2194" s="237"/>
      <c r="AC2194" s="237"/>
      <c r="AD2194" s="237"/>
      <c r="AE2194" s="237"/>
      <c r="AF2194" s="237"/>
      <c r="AG2194" s="237"/>
      <c r="AH2194" s="237"/>
      <c r="AJ2194" s="238"/>
    </row>
    <row r="2195" spans="1:39" ht="12.75" x14ac:dyDescent="0.2">
      <c r="AL2195" s="226"/>
      <c r="AM2195" s="226"/>
    </row>
    <row r="2196" spans="1:39" ht="12.75" x14ac:dyDescent="0.2">
      <c r="A2196" s="236"/>
      <c r="B2196" s="236"/>
      <c r="C2196" s="236"/>
      <c r="D2196" s="236"/>
      <c r="E2196" s="237"/>
      <c r="G2196" s="237"/>
      <c r="H2196" s="237"/>
      <c r="I2196" s="237"/>
      <c r="K2196" s="237"/>
      <c r="N2196" s="237"/>
      <c r="O2196" s="237"/>
      <c r="P2196" s="237"/>
      <c r="Q2196" s="237"/>
      <c r="AL2196" s="226"/>
      <c r="AM2196" s="226"/>
    </row>
    <row r="2197" spans="1:39" x14ac:dyDescent="0.25">
      <c r="AA2197" s="237"/>
      <c r="AB2197" s="237"/>
      <c r="AC2197" s="237"/>
      <c r="AD2197" s="237"/>
      <c r="AE2197" s="237"/>
      <c r="AF2197" s="237"/>
      <c r="AG2197" s="237"/>
      <c r="AH2197" s="237"/>
      <c r="AJ2197" s="238"/>
    </row>
    <row r="2198" spans="1:39" ht="12.75" x14ac:dyDescent="0.2">
      <c r="AL2198" s="226"/>
      <c r="AM2198" s="226"/>
    </row>
    <row r="2199" spans="1:39" ht="12.75" x14ac:dyDescent="0.2">
      <c r="A2199" s="236"/>
      <c r="B2199" s="236"/>
      <c r="C2199" s="236"/>
      <c r="D2199" s="236"/>
      <c r="E2199" s="237"/>
      <c r="G2199" s="237"/>
      <c r="H2199" s="237"/>
      <c r="I2199" s="237"/>
      <c r="K2199" s="237"/>
      <c r="N2199" s="237"/>
      <c r="O2199" s="237"/>
      <c r="P2199" s="237"/>
      <c r="Q2199" s="237"/>
      <c r="AL2199" s="226"/>
      <c r="AM2199" s="226"/>
    </row>
    <row r="2200" spans="1:39" x14ac:dyDescent="0.25">
      <c r="AA2200" s="237"/>
      <c r="AB2200" s="237"/>
      <c r="AC2200" s="237"/>
      <c r="AD2200" s="237"/>
      <c r="AE2200" s="237"/>
      <c r="AF2200" s="237"/>
      <c r="AG2200" s="237"/>
      <c r="AH2200" s="237"/>
      <c r="AJ2200" s="238"/>
    </row>
    <row r="2201" spans="1:39" ht="12.75" x14ac:dyDescent="0.2">
      <c r="AL2201" s="226"/>
      <c r="AM2201" s="226"/>
    </row>
    <row r="2202" spans="1:39" ht="12.75" x14ac:dyDescent="0.2">
      <c r="A2202" s="236"/>
      <c r="B2202" s="236"/>
      <c r="C2202" s="236"/>
      <c r="D2202" s="236"/>
      <c r="E2202" s="237"/>
      <c r="G2202" s="237"/>
      <c r="H2202" s="237"/>
      <c r="I2202" s="237"/>
      <c r="K2202" s="237"/>
      <c r="N2202" s="237"/>
      <c r="O2202" s="237"/>
      <c r="P2202" s="237"/>
      <c r="Q2202" s="237"/>
      <c r="AL2202" s="226"/>
      <c r="AM2202" s="226"/>
    </row>
    <row r="2203" spans="1:39" x14ac:dyDescent="0.25">
      <c r="AA2203" s="237"/>
      <c r="AB2203" s="237"/>
      <c r="AC2203" s="237"/>
      <c r="AD2203" s="237"/>
      <c r="AE2203" s="237"/>
      <c r="AF2203" s="237"/>
      <c r="AG2203" s="237"/>
      <c r="AH2203" s="237"/>
      <c r="AJ2203" s="238"/>
    </row>
    <row r="2204" spans="1:39" x14ac:dyDescent="0.25">
      <c r="AA2204" s="237"/>
      <c r="AB2204" s="237"/>
      <c r="AC2204" s="237"/>
      <c r="AD2204" s="237"/>
      <c r="AE2204" s="237"/>
      <c r="AF2204" s="237"/>
      <c r="AG2204" s="237"/>
      <c r="AH2204" s="237"/>
      <c r="AJ2204" s="238"/>
    </row>
    <row r="2205" spans="1:39" x14ac:dyDescent="0.25">
      <c r="AA2205" s="237"/>
      <c r="AB2205" s="237"/>
      <c r="AC2205" s="237"/>
      <c r="AD2205" s="237"/>
      <c r="AE2205" s="237"/>
      <c r="AF2205" s="237"/>
      <c r="AG2205" s="237"/>
      <c r="AH2205" s="237"/>
      <c r="AJ2205" s="238"/>
    </row>
    <row r="2206" spans="1:39" x14ac:dyDescent="0.25">
      <c r="AA2206" s="237"/>
      <c r="AB2206" s="237"/>
      <c r="AC2206" s="237"/>
      <c r="AD2206" s="237"/>
      <c r="AE2206" s="237"/>
      <c r="AF2206" s="237"/>
      <c r="AG2206" s="237"/>
      <c r="AH2206" s="237"/>
      <c r="AJ2206" s="238"/>
    </row>
    <row r="2207" spans="1:39" x14ac:dyDescent="0.25">
      <c r="AA2207" s="237"/>
      <c r="AB2207" s="237"/>
      <c r="AC2207" s="237"/>
      <c r="AD2207" s="237"/>
      <c r="AE2207" s="237"/>
      <c r="AF2207" s="237"/>
      <c r="AG2207" s="237"/>
      <c r="AH2207" s="237"/>
      <c r="AJ2207" s="238"/>
    </row>
    <row r="2208" spans="1:39" x14ac:dyDescent="0.25">
      <c r="AA2208" s="237"/>
      <c r="AB2208" s="237"/>
      <c r="AC2208" s="237"/>
      <c r="AD2208" s="237"/>
      <c r="AE2208" s="237"/>
      <c r="AF2208" s="237"/>
      <c r="AG2208" s="237"/>
      <c r="AH2208" s="237"/>
      <c r="AJ2208" s="238"/>
    </row>
    <row r="2209" spans="1:39" ht="12.75" x14ac:dyDescent="0.2">
      <c r="AL2209" s="226"/>
      <c r="AM2209" s="226"/>
    </row>
    <row r="2210" spans="1:39" ht="12.75" x14ac:dyDescent="0.2">
      <c r="A2210" s="236"/>
      <c r="B2210" s="236"/>
      <c r="C2210" s="236"/>
      <c r="D2210" s="236"/>
      <c r="E2210" s="237"/>
      <c r="G2210" s="237"/>
      <c r="H2210" s="237"/>
      <c r="I2210" s="237"/>
      <c r="K2210" s="237"/>
      <c r="N2210" s="237"/>
      <c r="O2210" s="237"/>
      <c r="P2210" s="237"/>
      <c r="Q2210" s="237"/>
      <c r="AL2210" s="226"/>
      <c r="AM2210" s="226"/>
    </row>
    <row r="2211" spans="1:39" x14ac:dyDescent="0.25">
      <c r="AA2211" s="237"/>
      <c r="AB2211" s="237"/>
      <c r="AC2211" s="237"/>
      <c r="AD2211" s="237"/>
      <c r="AE2211" s="237"/>
      <c r="AF2211" s="237"/>
      <c r="AG2211" s="237"/>
      <c r="AH2211" s="237"/>
      <c r="AJ2211" s="238"/>
    </row>
    <row r="2212" spans="1:39" x14ac:dyDescent="0.25">
      <c r="AA2212" s="237"/>
      <c r="AB2212" s="237"/>
      <c r="AC2212" s="237"/>
      <c r="AD2212" s="237"/>
      <c r="AE2212" s="237"/>
      <c r="AF2212" s="237"/>
      <c r="AG2212" s="237"/>
      <c r="AH2212" s="237"/>
      <c r="AJ2212" s="238"/>
    </row>
    <row r="2213" spans="1:39" x14ac:dyDescent="0.25">
      <c r="AA2213" s="237"/>
      <c r="AB2213" s="237"/>
      <c r="AC2213" s="237"/>
      <c r="AD2213" s="237"/>
      <c r="AE2213" s="237"/>
      <c r="AF2213" s="237"/>
      <c r="AG2213" s="237"/>
      <c r="AH2213" s="237"/>
      <c r="AJ2213" s="238"/>
    </row>
    <row r="2214" spans="1:39" x14ac:dyDescent="0.25">
      <c r="AA2214" s="237"/>
      <c r="AB2214" s="237"/>
      <c r="AC2214" s="237"/>
      <c r="AD2214" s="237"/>
      <c r="AE2214" s="237"/>
      <c r="AF2214" s="237"/>
      <c r="AG2214" s="237"/>
      <c r="AH2214" s="237"/>
      <c r="AJ2214" s="238"/>
    </row>
    <row r="2215" spans="1:39" x14ac:dyDescent="0.25">
      <c r="AA2215" s="237"/>
      <c r="AB2215" s="237"/>
      <c r="AC2215" s="237"/>
      <c r="AD2215" s="237"/>
      <c r="AE2215" s="237"/>
      <c r="AF2215" s="237"/>
      <c r="AG2215" s="237"/>
      <c r="AH2215" s="237"/>
      <c r="AJ2215" s="238"/>
    </row>
    <row r="2216" spans="1:39" x14ac:dyDescent="0.25">
      <c r="AA2216" s="237"/>
      <c r="AB2216" s="237"/>
      <c r="AC2216" s="237"/>
      <c r="AD2216" s="237"/>
      <c r="AE2216" s="237"/>
      <c r="AF2216" s="237"/>
      <c r="AG2216" s="237"/>
      <c r="AH2216" s="237"/>
      <c r="AJ2216" s="238"/>
    </row>
    <row r="2217" spans="1:39" ht="12.75" x14ac:dyDescent="0.2">
      <c r="AL2217" s="226"/>
      <c r="AM2217" s="226"/>
    </row>
    <row r="2218" spans="1:39" ht="12.75" x14ac:dyDescent="0.2">
      <c r="A2218" s="236"/>
      <c r="B2218" s="236"/>
      <c r="C2218" s="236"/>
      <c r="D2218" s="236"/>
      <c r="E2218" s="237"/>
      <c r="G2218" s="237"/>
      <c r="H2218" s="237"/>
      <c r="I2218" s="237"/>
      <c r="K2218" s="237"/>
      <c r="N2218" s="237"/>
      <c r="O2218" s="237"/>
      <c r="P2218" s="237"/>
      <c r="Q2218" s="237"/>
      <c r="AL2218" s="226"/>
      <c r="AM2218" s="226"/>
    </row>
    <row r="2219" spans="1:39" x14ac:dyDescent="0.25">
      <c r="AA2219" s="237"/>
      <c r="AB2219" s="237"/>
      <c r="AC2219" s="237"/>
      <c r="AD2219" s="237"/>
      <c r="AE2219" s="237"/>
      <c r="AF2219" s="237"/>
      <c r="AG2219" s="237"/>
      <c r="AH2219" s="237"/>
      <c r="AJ2219" s="238"/>
    </row>
    <row r="2220" spans="1:39" x14ac:dyDescent="0.25">
      <c r="AA2220" s="237"/>
      <c r="AB2220" s="237"/>
      <c r="AC2220" s="237"/>
      <c r="AD2220" s="237"/>
      <c r="AE2220" s="237"/>
      <c r="AF2220" s="237"/>
      <c r="AG2220" s="237"/>
      <c r="AH2220" s="237"/>
      <c r="AJ2220" s="238"/>
    </row>
    <row r="2221" spans="1:39" ht="12.75" x14ac:dyDescent="0.2">
      <c r="AL2221" s="226"/>
      <c r="AM2221" s="226"/>
    </row>
    <row r="2222" spans="1:39" ht="12.75" x14ac:dyDescent="0.2">
      <c r="A2222" s="236"/>
      <c r="B2222" s="236"/>
      <c r="C2222" s="236"/>
      <c r="D2222" s="236"/>
      <c r="E2222" s="237"/>
      <c r="G2222" s="237"/>
      <c r="H2222" s="237"/>
      <c r="I2222" s="237"/>
      <c r="K2222" s="237"/>
      <c r="N2222" s="237"/>
      <c r="O2222" s="237"/>
      <c r="P2222" s="237"/>
      <c r="Q2222" s="237"/>
      <c r="AL2222" s="226"/>
      <c r="AM2222" s="226"/>
    </row>
    <row r="2223" spans="1:39" x14ac:dyDescent="0.25">
      <c r="AA2223" s="237"/>
      <c r="AB2223" s="237"/>
      <c r="AC2223" s="237"/>
      <c r="AD2223" s="237"/>
      <c r="AE2223" s="237"/>
      <c r="AF2223" s="237"/>
      <c r="AG2223" s="237"/>
      <c r="AH2223" s="237"/>
      <c r="AJ2223" s="238"/>
    </row>
    <row r="2224" spans="1:39" x14ac:dyDescent="0.25">
      <c r="AA2224" s="237"/>
      <c r="AB2224" s="237"/>
      <c r="AC2224" s="237"/>
      <c r="AD2224" s="237"/>
      <c r="AE2224" s="237"/>
      <c r="AF2224" s="237"/>
      <c r="AG2224" s="237"/>
      <c r="AH2224" s="237"/>
      <c r="AJ2224" s="238"/>
    </row>
    <row r="2225" spans="1:39" x14ac:dyDescent="0.25">
      <c r="AA2225" s="237"/>
      <c r="AB2225" s="237"/>
      <c r="AC2225" s="237"/>
      <c r="AD2225" s="237"/>
      <c r="AE2225" s="237"/>
      <c r="AF2225" s="237"/>
      <c r="AG2225" s="237"/>
      <c r="AH2225" s="237"/>
      <c r="AJ2225" s="238"/>
    </row>
    <row r="2226" spans="1:39" x14ac:dyDescent="0.25">
      <c r="AA2226" s="237"/>
      <c r="AB2226" s="237"/>
      <c r="AC2226" s="237"/>
      <c r="AD2226" s="237"/>
      <c r="AE2226" s="237"/>
      <c r="AF2226" s="237"/>
      <c r="AG2226" s="237"/>
      <c r="AH2226" s="237"/>
      <c r="AJ2226" s="238"/>
    </row>
    <row r="2227" spans="1:39" x14ac:dyDescent="0.25">
      <c r="AA2227" s="237"/>
      <c r="AB2227" s="237"/>
      <c r="AC2227" s="237"/>
      <c r="AD2227" s="237"/>
      <c r="AE2227" s="237"/>
      <c r="AF2227" s="237"/>
      <c r="AG2227" s="237"/>
      <c r="AH2227" s="237"/>
      <c r="AJ2227" s="238"/>
    </row>
    <row r="2228" spans="1:39" ht="12.75" x14ac:dyDescent="0.2">
      <c r="AL2228" s="226"/>
      <c r="AM2228" s="226"/>
    </row>
    <row r="2229" spans="1:39" ht="12.75" x14ac:dyDescent="0.2">
      <c r="A2229" s="236"/>
      <c r="B2229" s="236"/>
      <c r="C2229" s="236"/>
      <c r="D2229" s="236"/>
      <c r="E2229" s="237"/>
      <c r="G2229" s="237"/>
      <c r="H2229" s="237"/>
      <c r="I2229" s="237"/>
      <c r="K2229" s="237"/>
      <c r="N2229" s="237"/>
      <c r="O2229" s="237"/>
      <c r="P2229" s="237"/>
      <c r="Q2229" s="237"/>
      <c r="AL2229" s="226"/>
      <c r="AM2229" s="226"/>
    </row>
    <row r="2230" spans="1:39" x14ac:dyDescent="0.25">
      <c r="AA2230" s="237"/>
      <c r="AB2230" s="237"/>
      <c r="AC2230" s="237"/>
      <c r="AD2230" s="237"/>
      <c r="AE2230" s="237"/>
      <c r="AF2230" s="237"/>
      <c r="AG2230" s="237"/>
      <c r="AH2230" s="237"/>
      <c r="AJ2230" s="238"/>
    </row>
    <row r="2231" spans="1:39" ht="12.75" x14ac:dyDescent="0.2">
      <c r="AL2231" s="226"/>
      <c r="AM2231" s="226"/>
    </row>
    <row r="2232" spans="1:39" ht="12.75" x14ac:dyDescent="0.2">
      <c r="A2232" s="236"/>
      <c r="B2232" s="236"/>
      <c r="C2232" s="236"/>
      <c r="D2232" s="236"/>
      <c r="E2232" s="237"/>
      <c r="G2232" s="237"/>
      <c r="H2232" s="237"/>
      <c r="I2232" s="237"/>
      <c r="K2232" s="237"/>
      <c r="N2232" s="237"/>
      <c r="O2232" s="237"/>
      <c r="P2232" s="237"/>
      <c r="Q2232" s="237"/>
      <c r="AL2232" s="226"/>
      <c r="AM2232" s="226"/>
    </row>
    <row r="2233" spans="1:39" x14ac:dyDescent="0.25">
      <c r="AA2233" s="237"/>
      <c r="AB2233" s="237"/>
      <c r="AC2233" s="237"/>
      <c r="AD2233" s="237"/>
      <c r="AE2233" s="237"/>
      <c r="AF2233" s="237"/>
      <c r="AG2233" s="237"/>
      <c r="AH2233" s="237"/>
      <c r="AJ2233" s="238"/>
    </row>
    <row r="2234" spans="1:39" x14ac:dyDescent="0.25">
      <c r="AA2234" s="237"/>
      <c r="AB2234" s="237"/>
      <c r="AC2234" s="237"/>
      <c r="AD2234" s="237"/>
      <c r="AE2234" s="237"/>
      <c r="AF2234" s="237"/>
      <c r="AG2234" s="237"/>
      <c r="AH2234" s="237"/>
      <c r="AJ2234" s="238"/>
    </row>
    <row r="2235" spans="1:39" ht="12.75" x14ac:dyDescent="0.2">
      <c r="AL2235" s="226"/>
      <c r="AM2235" s="226"/>
    </row>
    <row r="2236" spans="1:39" ht="12.75" x14ac:dyDescent="0.2">
      <c r="A2236" s="236"/>
      <c r="B2236" s="236"/>
      <c r="C2236" s="236"/>
      <c r="D2236" s="236"/>
      <c r="E2236" s="237"/>
      <c r="G2236" s="237"/>
      <c r="H2236" s="237"/>
      <c r="I2236" s="237"/>
      <c r="K2236" s="237"/>
      <c r="N2236" s="237"/>
      <c r="O2236" s="237"/>
      <c r="P2236" s="237"/>
      <c r="Q2236" s="237"/>
      <c r="AL2236" s="226"/>
      <c r="AM2236" s="226"/>
    </row>
    <row r="2237" spans="1:39" x14ac:dyDescent="0.25">
      <c r="AA2237" s="237"/>
      <c r="AB2237" s="237"/>
      <c r="AC2237" s="237"/>
      <c r="AD2237" s="237"/>
      <c r="AE2237" s="237"/>
      <c r="AF2237" s="237"/>
      <c r="AG2237" s="237"/>
      <c r="AH2237" s="237"/>
      <c r="AJ2237" s="238"/>
    </row>
    <row r="2238" spans="1:39" ht="12.75" x14ac:dyDescent="0.2">
      <c r="AL2238" s="226"/>
      <c r="AM2238" s="226"/>
    </row>
    <row r="2239" spans="1:39" ht="12.75" x14ac:dyDescent="0.2">
      <c r="A2239" s="236"/>
      <c r="B2239" s="236"/>
      <c r="C2239" s="236"/>
      <c r="D2239" s="236"/>
      <c r="E2239" s="237"/>
      <c r="G2239" s="237"/>
      <c r="H2239" s="237"/>
      <c r="I2239" s="237"/>
      <c r="K2239" s="237"/>
      <c r="N2239" s="237"/>
      <c r="O2239" s="237"/>
      <c r="P2239" s="237"/>
      <c r="Q2239" s="237"/>
      <c r="AL2239" s="226"/>
      <c r="AM2239" s="226"/>
    </row>
    <row r="2240" spans="1:39" x14ac:dyDescent="0.25">
      <c r="AA2240" s="237"/>
      <c r="AB2240" s="237"/>
      <c r="AC2240" s="237"/>
      <c r="AD2240" s="237"/>
      <c r="AE2240" s="237"/>
      <c r="AF2240" s="237"/>
      <c r="AG2240" s="237"/>
      <c r="AH2240" s="237"/>
      <c r="AJ2240" s="238"/>
    </row>
    <row r="2241" spans="1:39" ht="12.75" x14ac:dyDescent="0.2">
      <c r="AL2241" s="226"/>
      <c r="AM2241" s="226"/>
    </row>
    <row r="2242" spans="1:39" ht="12.75" x14ac:dyDescent="0.2">
      <c r="A2242" s="236"/>
      <c r="B2242" s="236"/>
      <c r="C2242" s="236"/>
      <c r="D2242" s="236"/>
      <c r="E2242" s="237"/>
      <c r="G2242" s="237"/>
      <c r="H2242" s="237"/>
      <c r="I2242" s="237"/>
      <c r="K2242" s="237"/>
      <c r="N2242" s="237"/>
      <c r="O2242" s="237"/>
      <c r="P2242" s="237"/>
      <c r="Q2242" s="237"/>
      <c r="AL2242" s="226"/>
      <c r="AM2242" s="226"/>
    </row>
    <row r="2243" spans="1:39" x14ac:dyDescent="0.25">
      <c r="AA2243" s="237"/>
      <c r="AB2243" s="237"/>
      <c r="AC2243" s="237"/>
      <c r="AD2243" s="237"/>
      <c r="AE2243" s="237"/>
      <c r="AF2243" s="237"/>
      <c r="AG2243" s="237"/>
      <c r="AH2243" s="237"/>
      <c r="AJ2243" s="238"/>
    </row>
    <row r="2244" spans="1:39" ht="12.75" x14ac:dyDescent="0.2">
      <c r="AL2244" s="226"/>
      <c r="AM2244" s="226"/>
    </row>
    <row r="2245" spans="1:39" ht="12.75" x14ac:dyDescent="0.2">
      <c r="A2245" s="236"/>
      <c r="B2245" s="236"/>
      <c r="C2245" s="236"/>
      <c r="D2245" s="236"/>
      <c r="E2245" s="237"/>
      <c r="G2245" s="237"/>
      <c r="H2245" s="237"/>
      <c r="I2245" s="237"/>
      <c r="K2245" s="237"/>
      <c r="N2245" s="237"/>
      <c r="O2245" s="237"/>
      <c r="P2245" s="237"/>
      <c r="Q2245" s="237"/>
      <c r="AL2245" s="226"/>
      <c r="AM2245" s="226"/>
    </row>
    <row r="2246" spans="1:39" x14ac:dyDescent="0.25">
      <c r="AA2246" s="237"/>
      <c r="AB2246" s="237"/>
      <c r="AC2246" s="237"/>
      <c r="AD2246" s="237"/>
      <c r="AE2246" s="237"/>
      <c r="AF2246" s="237"/>
      <c r="AG2246" s="237"/>
      <c r="AH2246" s="237"/>
      <c r="AJ2246" s="238"/>
    </row>
    <row r="2247" spans="1:39" ht="12.75" x14ac:dyDescent="0.2">
      <c r="AL2247" s="226"/>
      <c r="AM2247" s="226"/>
    </row>
    <row r="2248" spans="1:39" ht="12.75" x14ac:dyDescent="0.2">
      <c r="A2248" s="236"/>
      <c r="B2248" s="236"/>
      <c r="C2248" s="236"/>
      <c r="D2248" s="236"/>
      <c r="E2248" s="237"/>
      <c r="G2248" s="237"/>
      <c r="H2248" s="237"/>
      <c r="I2248" s="237"/>
      <c r="K2248" s="237"/>
      <c r="N2248" s="237"/>
      <c r="O2248" s="237"/>
      <c r="P2248" s="237"/>
      <c r="Q2248" s="237"/>
      <c r="AL2248" s="226"/>
      <c r="AM2248" s="226"/>
    </row>
    <row r="2249" spans="1:39" x14ac:dyDescent="0.25">
      <c r="AA2249" s="237"/>
      <c r="AB2249" s="237"/>
      <c r="AC2249" s="237"/>
      <c r="AD2249" s="237"/>
      <c r="AE2249" s="237"/>
      <c r="AF2249" s="237"/>
      <c r="AG2249" s="237"/>
      <c r="AH2249" s="237"/>
      <c r="AJ2249" s="238"/>
    </row>
    <row r="2250" spans="1:39" x14ac:dyDescent="0.25">
      <c r="AA2250" s="237"/>
      <c r="AB2250" s="237"/>
      <c r="AC2250" s="237"/>
      <c r="AD2250" s="237"/>
      <c r="AE2250" s="237"/>
      <c r="AF2250" s="237"/>
      <c r="AG2250" s="237"/>
      <c r="AH2250" s="237"/>
      <c r="AJ2250" s="238"/>
    </row>
    <row r="2251" spans="1:39" x14ac:dyDescent="0.25">
      <c r="AA2251" s="237"/>
      <c r="AB2251" s="237"/>
      <c r="AC2251" s="237"/>
      <c r="AD2251" s="237"/>
      <c r="AE2251" s="237"/>
      <c r="AF2251" s="237"/>
      <c r="AG2251" s="237"/>
      <c r="AH2251" s="237"/>
      <c r="AJ2251" s="238"/>
    </row>
    <row r="2252" spans="1:39" x14ac:dyDescent="0.25">
      <c r="AA2252" s="237"/>
      <c r="AB2252" s="237"/>
      <c r="AC2252" s="237"/>
      <c r="AD2252" s="237"/>
      <c r="AE2252" s="237"/>
      <c r="AF2252" s="237"/>
      <c r="AG2252" s="237"/>
      <c r="AH2252" s="237"/>
      <c r="AJ2252" s="238"/>
    </row>
    <row r="2253" spans="1:39" ht="12.75" x14ac:dyDescent="0.2">
      <c r="AL2253" s="226"/>
      <c r="AM2253" s="226"/>
    </row>
    <row r="2254" spans="1:39" ht="12.75" x14ac:dyDescent="0.2">
      <c r="A2254" s="236"/>
      <c r="B2254" s="236"/>
      <c r="C2254" s="236"/>
      <c r="D2254" s="236"/>
      <c r="E2254" s="237"/>
      <c r="G2254" s="237"/>
      <c r="H2254" s="237"/>
      <c r="I2254" s="237"/>
      <c r="K2254" s="237"/>
      <c r="N2254" s="237"/>
      <c r="O2254" s="237"/>
      <c r="P2254" s="237"/>
      <c r="Q2254" s="237"/>
      <c r="AL2254" s="226"/>
      <c r="AM2254" s="226"/>
    </row>
    <row r="2255" spans="1:39" x14ac:dyDescent="0.25">
      <c r="AA2255" s="237"/>
      <c r="AB2255" s="237"/>
      <c r="AC2255" s="237"/>
      <c r="AD2255" s="237"/>
      <c r="AE2255" s="237"/>
      <c r="AF2255" s="237"/>
      <c r="AG2255" s="237"/>
      <c r="AH2255" s="237"/>
      <c r="AJ2255" s="238"/>
    </row>
    <row r="2256" spans="1:39" x14ac:dyDescent="0.25">
      <c r="AA2256" s="237"/>
      <c r="AB2256" s="237"/>
      <c r="AC2256" s="237"/>
      <c r="AD2256" s="237"/>
      <c r="AE2256" s="237"/>
      <c r="AF2256" s="237"/>
      <c r="AG2256" s="237"/>
      <c r="AH2256" s="237"/>
      <c r="AJ2256" s="238"/>
    </row>
    <row r="2257" spans="1:39" x14ac:dyDescent="0.25">
      <c r="AA2257" s="237"/>
      <c r="AB2257" s="237"/>
      <c r="AC2257" s="237"/>
      <c r="AD2257" s="237"/>
      <c r="AE2257" s="237"/>
      <c r="AF2257" s="237"/>
      <c r="AG2257" s="237"/>
      <c r="AH2257" s="237"/>
      <c r="AJ2257" s="238"/>
    </row>
    <row r="2258" spans="1:39" x14ac:dyDescent="0.25">
      <c r="AA2258" s="237"/>
      <c r="AB2258" s="237"/>
      <c r="AC2258" s="237"/>
      <c r="AD2258" s="237"/>
      <c r="AE2258" s="237"/>
      <c r="AF2258" s="237"/>
      <c r="AG2258" s="237"/>
      <c r="AH2258" s="237"/>
      <c r="AJ2258" s="238"/>
    </row>
    <row r="2259" spans="1:39" x14ac:dyDescent="0.25">
      <c r="AA2259" s="237"/>
      <c r="AB2259" s="237"/>
      <c r="AC2259" s="237"/>
      <c r="AD2259" s="237"/>
      <c r="AE2259" s="237"/>
      <c r="AF2259" s="237"/>
      <c r="AG2259" s="237"/>
      <c r="AH2259" s="237"/>
      <c r="AJ2259" s="238"/>
    </row>
    <row r="2260" spans="1:39" x14ac:dyDescent="0.25">
      <c r="AA2260" s="237"/>
      <c r="AB2260" s="237"/>
      <c r="AC2260" s="237"/>
      <c r="AD2260" s="237"/>
      <c r="AE2260" s="237"/>
      <c r="AF2260" s="237"/>
      <c r="AG2260" s="237"/>
      <c r="AH2260" s="237"/>
      <c r="AJ2260" s="238"/>
    </row>
    <row r="2261" spans="1:39" ht="12.75" x14ac:dyDescent="0.2">
      <c r="AL2261" s="226"/>
      <c r="AM2261" s="226"/>
    </row>
    <row r="2262" spans="1:39" ht="12.75" x14ac:dyDescent="0.2">
      <c r="A2262" s="236"/>
      <c r="B2262" s="236"/>
      <c r="C2262" s="236"/>
      <c r="D2262" s="236"/>
      <c r="E2262" s="237"/>
      <c r="G2262" s="237"/>
      <c r="H2262" s="237"/>
      <c r="I2262" s="237"/>
      <c r="K2262" s="237"/>
      <c r="N2262" s="237"/>
      <c r="O2262" s="237"/>
      <c r="P2262" s="237"/>
      <c r="Q2262" s="237"/>
      <c r="AL2262" s="226"/>
      <c r="AM2262" s="226"/>
    </row>
    <row r="2263" spans="1:39" x14ac:dyDescent="0.25">
      <c r="AA2263" s="237"/>
      <c r="AB2263" s="237"/>
      <c r="AC2263" s="237"/>
      <c r="AD2263" s="237"/>
      <c r="AE2263" s="237"/>
      <c r="AF2263" s="237"/>
      <c r="AG2263" s="237"/>
      <c r="AH2263" s="237"/>
      <c r="AJ2263" s="238"/>
    </row>
    <row r="2264" spans="1:39" x14ac:dyDescent="0.25">
      <c r="AA2264" s="237"/>
      <c r="AB2264" s="237"/>
      <c r="AC2264" s="237"/>
      <c r="AD2264" s="237"/>
      <c r="AE2264" s="237"/>
      <c r="AF2264" s="237"/>
      <c r="AG2264" s="237"/>
      <c r="AH2264" s="237"/>
      <c r="AJ2264" s="238"/>
    </row>
    <row r="2265" spans="1:39" x14ac:dyDescent="0.25">
      <c r="AA2265" s="237"/>
      <c r="AB2265" s="237"/>
      <c r="AC2265" s="237"/>
      <c r="AD2265" s="237"/>
      <c r="AE2265" s="237"/>
      <c r="AF2265" s="237"/>
      <c r="AG2265" s="237"/>
      <c r="AH2265" s="237"/>
      <c r="AJ2265" s="238"/>
    </row>
    <row r="2266" spans="1:39" x14ac:dyDescent="0.25">
      <c r="AA2266" s="237"/>
      <c r="AB2266" s="237"/>
      <c r="AC2266" s="237"/>
      <c r="AD2266" s="237"/>
      <c r="AE2266" s="237"/>
      <c r="AF2266" s="237"/>
      <c r="AG2266" s="237"/>
      <c r="AH2266" s="237"/>
      <c r="AJ2266" s="238"/>
    </row>
    <row r="2267" spans="1:39" x14ac:dyDescent="0.25">
      <c r="AA2267" s="237"/>
      <c r="AB2267" s="237"/>
      <c r="AC2267" s="237"/>
      <c r="AD2267" s="237"/>
      <c r="AE2267" s="237"/>
      <c r="AF2267" s="237"/>
      <c r="AG2267" s="237"/>
      <c r="AH2267" s="237"/>
      <c r="AJ2267" s="238"/>
    </row>
    <row r="2268" spans="1:39" ht="12.75" x14ac:dyDescent="0.2">
      <c r="AL2268" s="226"/>
      <c r="AM2268" s="226"/>
    </row>
    <row r="2269" spans="1:39" ht="12.75" x14ac:dyDescent="0.2">
      <c r="A2269" s="236"/>
      <c r="B2269" s="236"/>
      <c r="C2269" s="236"/>
      <c r="D2269" s="236"/>
      <c r="E2269" s="237"/>
      <c r="G2269" s="237"/>
      <c r="H2269" s="237"/>
      <c r="I2269" s="237"/>
      <c r="K2269" s="237"/>
      <c r="N2269" s="237"/>
      <c r="O2269" s="237"/>
      <c r="P2269" s="237"/>
      <c r="Q2269" s="237"/>
      <c r="AL2269" s="226"/>
      <c r="AM2269" s="226"/>
    </row>
    <row r="2270" spans="1:39" x14ac:dyDescent="0.25">
      <c r="AA2270" s="237"/>
      <c r="AB2270" s="237"/>
      <c r="AC2270" s="237"/>
      <c r="AD2270" s="237"/>
      <c r="AE2270" s="237"/>
      <c r="AF2270" s="237"/>
      <c r="AG2270" s="237"/>
      <c r="AH2270" s="237"/>
      <c r="AJ2270" s="238"/>
    </row>
    <row r="2271" spans="1:39" ht="12.75" x14ac:dyDescent="0.2">
      <c r="AL2271" s="226"/>
      <c r="AM2271" s="226"/>
    </row>
    <row r="2272" spans="1:39" ht="12.75" x14ac:dyDescent="0.2">
      <c r="A2272" s="236"/>
      <c r="B2272" s="236"/>
      <c r="C2272" s="236"/>
      <c r="D2272" s="236"/>
      <c r="E2272" s="237"/>
      <c r="G2272" s="237"/>
      <c r="H2272" s="237"/>
      <c r="I2272" s="237"/>
      <c r="K2272" s="237"/>
      <c r="N2272" s="237"/>
      <c r="O2272" s="237"/>
      <c r="P2272" s="237"/>
      <c r="Q2272" s="237"/>
      <c r="AL2272" s="226"/>
      <c r="AM2272" s="226"/>
    </row>
    <row r="2273" spans="1:39" x14ac:dyDescent="0.25">
      <c r="AA2273" s="237"/>
      <c r="AB2273" s="237"/>
      <c r="AC2273" s="237"/>
      <c r="AD2273" s="237"/>
      <c r="AE2273" s="237"/>
      <c r="AF2273" s="237"/>
      <c r="AG2273" s="237"/>
      <c r="AH2273" s="237"/>
      <c r="AJ2273" s="238"/>
    </row>
    <row r="2274" spans="1:39" x14ac:dyDescent="0.25">
      <c r="AA2274" s="237"/>
      <c r="AB2274" s="237"/>
      <c r="AC2274" s="237"/>
      <c r="AD2274" s="237"/>
      <c r="AE2274" s="237"/>
      <c r="AF2274" s="237"/>
      <c r="AG2274" s="237"/>
      <c r="AH2274" s="237"/>
      <c r="AJ2274" s="238"/>
    </row>
    <row r="2275" spans="1:39" x14ac:dyDescent="0.25">
      <c r="AA2275" s="237"/>
      <c r="AB2275" s="237"/>
      <c r="AC2275" s="237"/>
      <c r="AD2275" s="237"/>
      <c r="AE2275" s="237"/>
      <c r="AF2275" s="237"/>
      <c r="AG2275" s="237"/>
      <c r="AH2275" s="237"/>
      <c r="AJ2275" s="238"/>
    </row>
    <row r="2276" spans="1:39" x14ac:dyDescent="0.25">
      <c r="AA2276" s="237"/>
      <c r="AB2276" s="237"/>
      <c r="AC2276" s="237"/>
      <c r="AD2276" s="237"/>
      <c r="AE2276" s="237"/>
      <c r="AF2276" s="237"/>
      <c r="AG2276" s="237"/>
      <c r="AH2276" s="237"/>
      <c r="AJ2276" s="238"/>
    </row>
    <row r="2277" spans="1:39" x14ac:dyDescent="0.25">
      <c r="AA2277" s="237"/>
      <c r="AB2277" s="237"/>
      <c r="AC2277" s="237"/>
      <c r="AD2277" s="237"/>
      <c r="AE2277" s="237"/>
      <c r="AF2277" s="237"/>
      <c r="AG2277" s="237"/>
      <c r="AH2277" s="237"/>
      <c r="AJ2277" s="238"/>
    </row>
    <row r="2278" spans="1:39" x14ac:dyDescent="0.25">
      <c r="AA2278" s="237"/>
      <c r="AB2278" s="237"/>
      <c r="AC2278" s="237"/>
      <c r="AD2278" s="237"/>
      <c r="AE2278" s="237"/>
      <c r="AF2278" s="237"/>
      <c r="AG2278" s="237"/>
      <c r="AH2278" s="237"/>
      <c r="AJ2278" s="238"/>
    </row>
    <row r="2279" spans="1:39" ht="12.75" x14ac:dyDescent="0.2">
      <c r="AL2279" s="226"/>
      <c r="AM2279" s="226"/>
    </row>
    <row r="2280" spans="1:39" ht="12.75" x14ac:dyDescent="0.2">
      <c r="A2280" s="236"/>
      <c r="B2280" s="236"/>
      <c r="C2280" s="236"/>
      <c r="D2280" s="236"/>
      <c r="E2280" s="237"/>
      <c r="G2280" s="237"/>
      <c r="H2280" s="237"/>
      <c r="I2280" s="237"/>
      <c r="K2280" s="237"/>
      <c r="N2280" s="237"/>
      <c r="O2280" s="237"/>
      <c r="P2280" s="237"/>
      <c r="Q2280" s="237"/>
      <c r="AL2280" s="226"/>
      <c r="AM2280" s="226"/>
    </row>
    <row r="2281" spans="1:39" x14ac:dyDescent="0.25">
      <c r="AA2281" s="237"/>
      <c r="AB2281" s="237"/>
      <c r="AC2281" s="237"/>
      <c r="AD2281" s="237"/>
      <c r="AE2281" s="237"/>
      <c r="AF2281" s="237"/>
      <c r="AG2281" s="237"/>
      <c r="AH2281" s="237"/>
      <c r="AJ2281" s="238"/>
    </row>
    <row r="2282" spans="1:39" ht="12.75" x14ac:dyDescent="0.2">
      <c r="AL2282" s="226"/>
      <c r="AM2282" s="226"/>
    </row>
    <row r="2283" spans="1:39" ht="12.75" x14ac:dyDescent="0.2">
      <c r="A2283" s="236"/>
      <c r="B2283" s="236"/>
      <c r="C2283" s="236"/>
      <c r="D2283" s="236"/>
      <c r="E2283" s="237"/>
      <c r="G2283" s="237"/>
      <c r="H2283" s="237"/>
      <c r="I2283" s="237"/>
      <c r="K2283" s="237"/>
      <c r="N2283" s="237"/>
      <c r="O2283" s="237"/>
      <c r="P2283" s="237"/>
      <c r="Q2283" s="237"/>
      <c r="AL2283" s="226"/>
      <c r="AM2283" s="226"/>
    </row>
    <row r="2284" spans="1:39" x14ac:dyDescent="0.25">
      <c r="AA2284" s="237"/>
      <c r="AB2284" s="237"/>
      <c r="AC2284" s="237"/>
      <c r="AD2284" s="237"/>
      <c r="AE2284" s="237"/>
      <c r="AF2284" s="237"/>
      <c r="AG2284" s="237"/>
      <c r="AH2284" s="237"/>
      <c r="AJ2284" s="238"/>
    </row>
    <row r="2285" spans="1:39" x14ac:dyDescent="0.25">
      <c r="AA2285" s="237"/>
      <c r="AB2285" s="237"/>
      <c r="AC2285" s="237"/>
      <c r="AD2285" s="237"/>
      <c r="AE2285" s="237"/>
      <c r="AF2285" s="237"/>
      <c r="AG2285" s="237"/>
      <c r="AH2285" s="237"/>
      <c r="AJ2285" s="238"/>
    </row>
    <row r="2286" spans="1:39" x14ac:dyDescent="0.25">
      <c r="AA2286" s="237"/>
      <c r="AB2286" s="237"/>
      <c r="AC2286" s="237"/>
      <c r="AD2286" s="237"/>
      <c r="AE2286" s="237"/>
      <c r="AF2286" s="237"/>
      <c r="AG2286" s="237"/>
      <c r="AH2286" s="237"/>
      <c r="AJ2286" s="238"/>
    </row>
    <row r="2287" spans="1:39" x14ac:dyDescent="0.25">
      <c r="AA2287" s="237"/>
      <c r="AB2287" s="237"/>
      <c r="AC2287" s="237"/>
      <c r="AD2287" s="237"/>
      <c r="AE2287" s="237"/>
      <c r="AF2287" s="237"/>
      <c r="AG2287" s="237"/>
      <c r="AH2287" s="237"/>
      <c r="AJ2287" s="238"/>
    </row>
    <row r="2288" spans="1:39" x14ac:dyDescent="0.25">
      <c r="AA2288" s="237"/>
      <c r="AB2288" s="237"/>
      <c r="AC2288" s="237"/>
      <c r="AD2288" s="237"/>
      <c r="AE2288" s="237"/>
      <c r="AF2288" s="237"/>
      <c r="AG2288" s="237"/>
      <c r="AH2288" s="237"/>
      <c r="AJ2288" s="238"/>
    </row>
    <row r="2289" spans="1:39" x14ac:dyDescent="0.25">
      <c r="AA2289" s="237"/>
      <c r="AB2289" s="237"/>
      <c r="AC2289" s="237"/>
      <c r="AD2289" s="237"/>
      <c r="AE2289" s="237"/>
      <c r="AF2289" s="237"/>
      <c r="AG2289" s="237"/>
      <c r="AH2289" s="237"/>
      <c r="AJ2289" s="238"/>
    </row>
    <row r="2290" spans="1:39" ht="12.75" x14ac:dyDescent="0.2">
      <c r="AL2290" s="226"/>
      <c r="AM2290" s="226"/>
    </row>
    <row r="2291" spans="1:39" ht="12.75" x14ac:dyDescent="0.2">
      <c r="A2291" s="236"/>
      <c r="B2291" s="236"/>
      <c r="C2291" s="236"/>
      <c r="D2291" s="236"/>
      <c r="E2291" s="237"/>
      <c r="G2291" s="237"/>
      <c r="H2291" s="237"/>
      <c r="I2291" s="237"/>
      <c r="K2291" s="237"/>
      <c r="N2291" s="237"/>
      <c r="O2291" s="237"/>
      <c r="P2291" s="237"/>
      <c r="Q2291" s="237"/>
      <c r="AL2291" s="226"/>
      <c r="AM2291" s="226"/>
    </row>
    <row r="2292" spans="1:39" x14ac:dyDescent="0.25">
      <c r="AA2292" s="237"/>
      <c r="AB2292" s="237"/>
      <c r="AC2292" s="237"/>
      <c r="AD2292" s="237"/>
      <c r="AE2292" s="237"/>
      <c r="AF2292" s="237"/>
      <c r="AG2292" s="237"/>
      <c r="AH2292" s="237"/>
      <c r="AJ2292" s="238"/>
    </row>
    <row r="2293" spans="1:39" x14ac:dyDescent="0.25">
      <c r="AA2293" s="237"/>
      <c r="AB2293" s="237"/>
      <c r="AC2293" s="237"/>
      <c r="AD2293" s="237"/>
      <c r="AE2293" s="237"/>
      <c r="AF2293" s="237"/>
      <c r="AG2293" s="237"/>
      <c r="AH2293" s="237"/>
      <c r="AJ2293" s="238"/>
    </row>
    <row r="2294" spans="1:39" x14ac:dyDescent="0.25">
      <c r="AA2294" s="237"/>
      <c r="AB2294" s="237"/>
      <c r="AC2294" s="237"/>
      <c r="AD2294" s="237"/>
      <c r="AE2294" s="237"/>
      <c r="AF2294" s="237"/>
      <c r="AG2294" s="237"/>
      <c r="AH2294" s="237"/>
      <c r="AJ2294" s="238"/>
    </row>
    <row r="2295" spans="1:39" x14ac:dyDescent="0.25">
      <c r="AA2295" s="237"/>
      <c r="AB2295" s="237"/>
      <c r="AC2295" s="237"/>
      <c r="AD2295" s="237"/>
      <c r="AE2295" s="237"/>
      <c r="AF2295" s="237"/>
      <c r="AG2295" s="237"/>
      <c r="AH2295" s="237"/>
      <c r="AJ2295" s="238"/>
    </row>
    <row r="2296" spans="1:39" x14ac:dyDescent="0.25">
      <c r="AA2296" s="237"/>
      <c r="AB2296" s="237"/>
      <c r="AC2296" s="237"/>
      <c r="AD2296" s="237"/>
      <c r="AE2296" s="237"/>
      <c r="AF2296" s="237"/>
      <c r="AG2296" s="237"/>
      <c r="AH2296" s="237"/>
      <c r="AJ2296" s="238"/>
    </row>
    <row r="2297" spans="1:39" x14ac:dyDescent="0.25">
      <c r="AA2297" s="237"/>
      <c r="AB2297" s="237"/>
      <c r="AC2297" s="237"/>
      <c r="AD2297" s="237"/>
      <c r="AE2297" s="237"/>
      <c r="AF2297" s="237"/>
      <c r="AG2297" s="237"/>
      <c r="AH2297" s="237"/>
      <c r="AJ2297" s="238"/>
    </row>
    <row r="2298" spans="1:39" ht="12.75" x14ac:dyDescent="0.2">
      <c r="AL2298" s="226"/>
      <c r="AM2298" s="226"/>
    </row>
    <row r="2299" spans="1:39" ht="12.75" x14ac:dyDescent="0.2">
      <c r="A2299" s="236"/>
      <c r="B2299" s="236"/>
      <c r="C2299" s="236"/>
      <c r="D2299" s="236"/>
      <c r="E2299" s="237"/>
      <c r="G2299" s="237"/>
      <c r="H2299" s="237"/>
      <c r="I2299" s="237"/>
      <c r="K2299" s="237"/>
      <c r="N2299" s="237"/>
      <c r="O2299" s="237"/>
      <c r="P2299" s="237"/>
      <c r="Q2299" s="237"/>
      <c r="AL2299" s="226"/>
      <c r="AM2299" s="226"/>
    </row>
    <row r="2300" spans="1:39" x14ac:dyDescent="0.25">
      <c r="AA2300" s="237"/>
      <c r="AB2300" s="237"/>
      <c r="AC2300" s="237"/>
      <c r="AD2300" s="237"/>
      <c r="AE2300" s="237"/>
      <c r="AF2300" s="237"/>
      <c r="AG2300" s="237"/>
      <c r="AH2300" s="237"/>
      <c r="AJ2300" s="238"/>
    </row>
    <row r="2301" spans="1:39" ht="12.75" x14ac:dyDescent="0.2">
      <c r="AL2301" s="226"/>
      <c r="AM2301" s="226"/>
    </row>
    <row r="2302" spans="1:39" ht="12.75" x14ac:dyDescent="0.2">
      <c r="A2302" s="236"/>
      <c r="B2302" s="236"/>
      <c r="C2302" s="236"/>
      <c r="D2302" s="236"/>
      <c r="E2302" s="237"/>
      <c r="G2302" s="237"/>
      <c r="H2302" s="237"/>
      <c r="I2302" s="237"/>
      <c r="K2302" s="237"/>
      <c r="N2302" s="237"/>
      <c r="O2302" s="237"/>
      <c r="P2302" s="237"/>
      <c r="Q2302" s="237"/>
      <c r="AL2302" s="226"/>
      <c r="AM2302" s="226"/>
    </row>
    <row r="2303" spans="1:39" x14ac:dyDescent="0.25">
      <c r="AA2303" s="237"/>
      <c r="AB2303" s="237"/>
      <c r="AC2303" s="237"/>
      <c r="AD2303" s="237"/>
      <c r="AE2303" s="237"/>
      <c r="AF2303" s="237"/>
      <c r="AG2303" s="237"/>
      <c r="AH2303" s="237"/>
      <c r="AJ2303" s="238"/>
    </row>
    <row r="2304" spans="1:39" x14ac:dyDescent="0.25">
      <c r="AA2304" s="237"/>
      <c r="AB2304" s="237"/>
      <c r="AC2304" s="237"/>
      <c r="AD2304" s="237"/>
      <c r="AE2304" s="237"/>
      <c r="AF2304" s="237"/>
      <c r="AG2304" s="237"/>
      <c r="AH2304" s="237"/>
      <c r="AJ2304" s="238"/>
    </row>
    <row r="2305" spans="1:39" x14ac:dyDescent="0.25">
      <c r="AA2305" s="237"/>
      <c r="AB2305" s="237"/>
      <c r="AC2305" s="237"/>
      <c r="AD2305" s="237"/>
      <c r="AE2305" s="237"/>
      <c r="AF2305" s="237"/>
      <c r="AG2305" s="237"/>
      <c r="AH2305" s="237"/>
      <c r="AJ2305" s="238"/>
    </row>
    <row r="2306" spans="1:39" x14ac:dyDescent="0.25">
      <c r="AA2306" s="237"/>
      <c r="AB2306" s="237"/>
      <c r="AC2306" s="237"/>
      <c r="AD2306" s="237"/>
      <c r="AE2306" s="237"/>
      <c r="AF2306" s="237"/>
      <c r="AG2306" s="237"/>
      <c r="AH2306" s="237"/>
      <c r="AJ2306" s="238"/>
    </row>
    <row r="2307" spans="1:39" x14ac:dyDescent="0.25">
      <c r="AA2307" s="237"/>
      <c r="AB2307" s="237"/>
      <c r="AC2307" s="237"/>
      <c r="AD2307" s="237"/>
      <c r="AE2307" s="237"/>
      <c r="AF2307" s="237"/>
      <c r="AG2307" s="237"/>
      <c r="AH2307" s="237"/>
      <c r="AJ2307" s="238"/>
    </row>
    <row r="2308" spans="1:39" x14ac:dyDescent="0.25">
      <c r="AA2308" s="237"/>
      <c r="AB2308" s="237"/>
      <c r="AC2308" s="237"/>
      <c r="AD2308" s="237"/>
      <c r="AE2308" s="237"/>
      <c r="AF2308" s="237"/>
      <c r="AG2308" s="237"/>
      <c r="AH2308" s="237"/>
      <c r="AJ2308" s="238"/>
    </row>
    <row r="2309" spans="1:39" x14ac:dyDescent="0.25">
      <c r="AA2309" s="237"/>
      <c r="AB2309" s="237"/>
      <c r="AC2309" s="237"/>
      <c r="AD2309" s="237"/>
      <c r="AE2309" s="237"/>
      <c r="AF2309" s="237"/>
      <c r="AG2309" s="237"/>
      <c r="AH2309" s="237"/>
      <c r="AJ2309" s="238"/>
    </row>
    <row r="2310" spans="1:39" x14ac:dyDescent="0.25">
      <c r="AA2310" s="237"/>
      <c r="AB2310" s="237"/>
      <c r="AC2310" s="237"/>
      <c r="AD2310" s="237"/>
      <c r="AE2310" s="237"/>
      <c r="AF2310" s="237"/>
      <c r="AG2310" s="237"/>
      <c r="AH2310" s="237"/>
      <c r="AJ2310" s="238"/>
    </row>
    <row r="2311" spans="1:39" ht="12.75" x14ac:dyDescent="0.2">
      <c r="AL2311" s="226"/>
      <c r="AM2311" s="226"/>
    </row>
    <row r="2312" spans="1:39" ht="12.75" x14ac:dyDescent="0.2">
      <c r="A2312" s="236"/>
      <c r="B2312" s="236"/>
      <c r="C2312" s="236"/>
      <c r="D2312" s="236"/>
      <c r="E2312" s="237"/>
      <c r="G2312" s="237"/>
      <c r="H2312" s="237"/>
      <c r="I2312" s="237"/>
      <c r="K2312" s="237"/>
      <c r="N2312" s="237"/>
      <c r="O2312" s="237"/>
      <c r="P2312" s="237"/>
      <c r="Q2312" s="237"/>
      <c r="AL2312" s="226"/>
      <c r="AM2312" s="226"/>
    </row>
    <row r="2313" spans="1:39" x14ac:dyDescent="0.25">
      <c r="AA2313" s="237"/>
      <c r="AB2313" s="237"/>
      <c r="AC2313" s="237"/>
      <c r="AD2313" s="237"/>
      <c r="AE2313" s="237"/>
      <c r="AF2313" s="237"/>
      <c r="AG2313" s="237"/>
      <c r="AH2313" s="237"/>
      <c r="AJ2313" s="238"/>
    </row>
    <row r="2314" spans="1:39" ht="12.75" x14ac:dyDescent="0.2">
      <c r="AL2314" s="226"/>
      <c r="AM2314" s="226"/>
    </row>
    <row r="2315" spans="1:39" ht="12.75" x14ac:dyDescent="0.2">
      <c r="A2315" s="236"/>
      <c r="B2315" s="236"/>
      <c r="C2315" s="236"/>
      <c r="D2315" s="236"/>
      <c r="E2315" s="237"/>
      <c r="G2315" s="237"/>
      <c r="H2315" s="237"/>
      <c r="I2315" s="237"/>
      <c r="K2315" s="237"/>
      <c r="N2315" s="237"/>
      <c r="O2315" s="237"/>
      <c r="P2315" s="237"/>
      <c r="Q2315" s="237"/>
      <c r="AL2315" s="226"/>
      <c r="AM2315" s="226"/>
    </row>
    <row r="2316" spans="1:39" x14ac:dyDescent="0.25">
      <c r="AA2316" s="237"/>
      <c r="AB2316" s="237"/>
      <c r="AC2316" s="237"/>
      <c r="AD2316" s="237"/>
      <c r="AE2316" s="237"/>
      <c r="AF2316" s="237"/>
      <c r="AG2316" s="237"/>
      <c r="AH2316" s="237"/>
      <c r="AJ2316" s="238"/>
    </row>
    <row r="2317" spans="1:39" ht="12.75" x14ac:dyDescent="0.2">
      <c r="AL2317" s="226"/>
      <c r="AM2317" s="226"/>
    </row>
    <row r="2318" spans="1:39" ht="12.75" x14ac:dyDescent="0.2">
      <c r="A2318" s="236"/>
      <c r="B2318" s="236"/>
      <c r="C2318" s="236"/>
      <c r="D2318" s="236"/>
      <c r="E2318" s="237"/>
      <c r="G2318" s="237"/>
      <c r="H2318" s="237"/>
      <c r="I2318" s="237"/>
      <c r="K2318" s="237"/>
      <c r="N2318" s="237"/>
      <c r="O2318" s="237"/>
      <c r="P2318" s="237"/>
      <c r="Q2318" s="237"/>
      <c r="AL2318" s="226"/>
      <c r="AM2318" s="226"/>
    </row>
    <row r="2319" spans="1:39" x14ac:dyDescent="0.25">
      <c r="AA2319" s="237"/>
      <c r="AB2319" s="237"/>
      <c r="AC2319" s="237"/>
      <c r="AD2319" s="237"/>
      <c r="AE2319" s="237"/>
      <c r="AF2319" s="237"/>
      <c r="AG2319" s="237"/>
      <c r="AH2319" s="237"/>
      <c r="AJ2319" s="238"/>
    </row>
    <row r="2320" spans="1:39" ht="12.75" x14ac:dyDescent="0.2">
      <c r="AL2320" s="226"/>
      <c r="AM2320" s="226"/>
    </row>
    <row r="2321" spans="1:39" ht="12.75" x14ac:dyDescent="0.2">
      <c r="A2321" s="236"/>
      <c r="B2321" s="236"/>
      <c r="C2321" s="236"/>
      <c r="D2321" s="236"/>
      <c r="E2321" s="237"/>
      <c r="G2321" s="237"/>
      <c r="H2321" s="237"/>
      <c r="I2321" s="237"/>
      <c r="K2321" s="237"/>
      <c r="N2321" s="237"/>
      <c r="O2321" s="237"/>
      <c r="P2321" s="237"/>
      <c r="Q2321" s="237"/>
      <c r="AL2321" s="226"/>
      <c r="AM2321" s="226"/>
    </row>
    <row r="2322" spans="1:39" x14ac:dyDescent="0.25">
      <c r="AA2322" s="237"/>
      <c r="AB2322" s="237"/>
      <c r="AC2322" s="237"/>
      <c r="AD2322" s="237"/>
      <c r="AE2322" s="237"/>
      <c r="AF2322" s="237"/>
      <c r="AG2322" s="237"/>
      <c r="AH2322" s="237"/>
      <c r="AJ2322" s="238"/>
    </row>
    <row r="2323" spans="1:39" x14ac:dyDescent="0.25">
      <c r="AA2323" s="237"/>
      <c r="AB2323" s="237"/>
      <c r="AC2323" s="237"/>
      <c r="AD2323" s="237"/>
      <c r="AE2323" s="237"/>
      <c r="AF2323" s="237"/>
      <c r="AG2323" s="237"/>
      <c r="AH2323" s="237"/>
      <c r="AJ2323" s="238"/>
    </row>
    <row r="2324" spans="1:39" x14ac:dyDescent="0.25">
      <c r="AA2324" s="237"/>
      <c r="AB2324" s="237"/>
      <c r="AC2324" s="237"/>
      <c r="AD2324" s="237"/>
      <c r="AE2324" s="237"/>
      <c r="AF2324" s="237"/>
      <c r="AG2324" s="237"/>
      <c r="AH2324" s="237"/>
      <c r="AJ2324" s="238"/>
    </row>
    <row r="2325" spans="1:39" x14ac:dyDescent="0.25">
      <c r="AA2325" s="237"/>
      <c r="AB2325" s="237"/>
      <c r="AC2325" s="237"/>
      <c r="AD2325" s="237"/>
      <c r="AE2325" s="237"/>
      <c r="AF2325" s="237"/>
      <c r="AG2325" s="237"/>
      <c r="AH2325" s="237"/>
      <c r="AJ2325" s="238"/>
    </row>
    <row r="2326" spans="1:39" x14ac:dyDescent="0.25">
      <c r="AA2326" s="237"/>
      <c r="AB2326" s="237"/>
      <c r="AC2326" s="237"/>
      <c r="AD2326" s="237"/>
      <c r="AE2326" s="237"/>
      <c r="AF2326" s="237"/>
      <c r="AG2326" s="237"/>
      <c r="AH2326" s="237"/>
      <c r="AJ2326" s="238"/>
    </row>
    <row r="2327" spans="1:39" x14ac:dyDescent="0.25">
      <c r="AA2327" s="237"/>
      <c r="AB2327" s="237"/>
      <c r="AC2327" s="237"/>
      <c r="AD2327" s="237"/>
      <c r="AE2327" s="237"/>
      <c r="AF2327" s="237"/>
      <c r="AG2327" s="237"/>
      <c r="AH2327" s="237"/>
      <c r="AJ2327" s="238"/>
    </row>
    <row r="2328" spans="1:39" x14ac:dyDescent="0.25">
      <c r="AA2328" s="237"/>
      <c r="AB2328" s="237"/>
      <c r="AC2328" s="237"/>
      <c r="AD2328" s="237"/>
      <c r="AE2328" s="237"/>
      <c r="AF2328" s="237"/>
      <c r="AG2328" s="237"/>
      <c r="AH2328" s="237"/>
      <c r="AJ2328" s="238"/>
    </row>
    <row r="2329" spans="1:39" ht="12.75" x14ac:dyDescent="0.2">
      <c r="AL2329" s="226"/>
      <c r="AM2329" s="226"/>
    </row>
    <row r="2330" spans="1:39" ht="12.75" x14ac:dyDescent="0.2">
      <c r="A2330" s="236"/>
      <c r="B2330" s="236"/>
      <c r="C2330" s="236"/>
      <c r="D2330" s="236"/>
      <c r="E2330" s="237"/>
      <c r="G2330" s="237"/>
      <c r="H2330" s="237"/>
      <c r="I2330" s="237"/>
      <c r="K2330" s="237"/>
      <c r="N2330" s="237"/>
      <c r="O2330" s="237"/>
      <c r="P2330" s="237"/>
      <c r="Q2330" s="237"/>
      <c r="AL2330" s="226"/>
      <c r="AM2330" s="226"/>
    </row>
    <row r="2331" spans="1:39" x14ac:dyDescent="0.25">
      <c r="AA2331" s="237"/>
      <c r="AB2331" s="237"/>
      <c r="AC2331" s="237"/>
      <c r="AD2331" s="237"/>
      <c r="AE2331" s="237"/>
      <c r="AF2331" s="237"/>
      <c r="AG2331" s="237"/>
      <c r="AH2331" s="237"/>
      <c r="AJ2331" s="238"/>
    </row>
    <row r="2332" spans="1:39" x14ac:dyDescent="0.25">
      <c r="AA2332" s="237"/>
      <c r="AB2332" s="237"/>
      <c r="AC2332" s="237"/>
      <c r="AD2332" s="237"/>
      <c r="AE2332" s="237"/>
      <c r="AF2332" s="237"/>
      <c r="AG2332" s="237"/>
      <c r="AH2332" s="237"/>
      <c r="AJ2332" s="238"/>
    </row>
    <row r="2333" spans="1:39" x14ac:dyDescent="0.25">
      <c r="AA2333" s="237"/>
      <c r="AB2333" s="237"/>
      <c r="AC2333" s="237"/>
      <c r="AD2333" s="237"/>
      <c r="AE2333" s="237"/>
      <c r="AF2333" s="237"/>
      <c r="AG2333" s="237"/>
      <c r="AH2333" s="237"/>
      <c r="AJ2333" s="238"/>
    </row>
    <row r="2334" spans="1:39" x14ac:dyDescent="0.25">
      <c r="AA2334" s="237"/>
      <c r="AB2334" s="237"/>
      <c r="AC2334" s="237"/>
      <c r="AD2334" s="237"/>
      <c r="AE2334" s="237"/>
      <c r="AF2334" s="237"/>
      <c r="AG2334" s="237"/>
      <c r="AH2334" s="237"/>
      <c r="AJ2334" s="238"/>
    </row>
    <row r="2335" spans="1:39" x14ac:dyDescent="0.25">
      <c r="AA2335" s="237"/>
      <c r="AB2335" s="237"/>
      <c r="AC2335" s="237"/>
      <c r="AD2335" s="237"/>
      <c r="AE2335" s="237"/>
      <c r="AF2335" s="237"/>
      <c r="AG2335" s="237"/>
      <c r="AH2335" s="237"/>
      <c r="AJ2335" s="238"/>
    </row>
    <row r="2336" spans="1:39" x14ac:dyDescent="0.25">
      <c r="AA2336" s="237"/>
      <c r="AB2336" s="237"/>
      <c r="AC2336" s="237"/>
      <c r="AD2336" s="237"/>
      <c r="AE2336" s="237"/>
      <c r="AF2336" s="237"/>
      <c r="AG2336" s="237"/>
      <c r="AH2336" s="237"/>
      <c r="AJ2336" s="238"/>
    </row>
    <row r="2337" spans="27:36" x14ac:dyDescent="0.25">
      <c r="AA2337" s="237"/>
      <c r="AB2337" s="237"/>
      <c r="AC2337" s="237"/>
      <c r="AD2337" s="237"/>
      <c r="AE2337" s="237"/>
      <c r="AF2337" s="237"/>
      <c r="AG2337" s="237"/>
      <c r="AH2337" s="237"/>
      <c r="AJ2337" s="238"/>
    </row>
    <row r="2338" spans="27:36" x14ac:dyDescent="0.25">
      <c r="AA2338" s="237"/>
      <c r="AB2338" s="237"/>
      <c r="AC2338" s="237"/>
      <c r="AD2338" s="237"/>
      <c r="AE2338" s="237"/>
      <c r="AF2338" s="237"/>
      <c r="AG2338" s="237"/>
      <c r="AH2338" s="237"/>
      <c r="AJ2338" s="238"/>
    </row>
    <row r="2339" spans="27:36" x14ac:dyDescent="0.25">
      <c r="AA2339" s="237"/>
      <c r="AB2339" s="237"/>
      <c r="AC2339" s="237"/>
      <c r="AD2339" s="237"/>
      <c r="AE2339" s="237"/>
      <c r="AF2339" s="237"/>
      <c r="AG2339" s="237"/>
      <c r="AH2339" s="237"/>
      <c r="AJ2339" s="238"/>
    </row>
    <row r="2340" spans="27:36" x14ac:dyDescent="0.25">
      <c r="AA2340" s="237"/>
      <c r="AB2340" s="237"/>
      <c r="AC2340" s="237"/>
      <c r="AD2340" s="237"/>
      <c r="AE2340" s="237"/>
      <c r="AF2340" s="237"/>
      <c r="AG2340" s="237"/>
      <c r="AH2340" s="237"/>
      <c r="AJ2340" s="238"/>
    </row>
    <row r="2341" spans="27:36" x14ac:dyDescent="0.25">
      <c r="AA2341" s="237"/>
      <c r="AB2341" s="237"/>
      <c r="AC2341" s="237"/>
      <c r="AD2341" s="237"/>
      <c r="AE2341" s="237"/>
      <c r="AF2341" s="237"/>
      <c r="AG2341" s="237"/>
      <c r="AH2341" s="237"/>
      <c r="AJ2341" s="238"/>
    </row>
    <row r="2342" spans="27:36" x14ac:dyDescent="0.25">
      <c r="AA2342" s="237"/>
      <c r="AB2342" s="237"/>
      <c r="AC2342" s="237"/>
      <c r="AD2342" s="237"/>
      <c r="AE2342" s="237"/>
      <c r="AF2342" s="237"/>
      <c r="AG2342" s="237"/>
      <c r="AH2342" s="237"/>
      <c r="AJ2342" s="238"/>
    </row>
    <row r="2343" spans="27:36" x14ac:dyDescent="0.25">
      <c r="AA2343" s="237"/>
      <c r="AB2343" s="237"/>
      <c r="AC2343" s="237"/>
      <c r="AD2343" s="237"/>
      <c r="AE2343" s="237"/>
      <c r="AF2343" s="237"/>
      <c r="AG2343" s="237"/>
      <c r="AH2343" s="237"/>
      <c r="AJ2343" s="238"/>
    </row>
    <row r="2344" spans="27:36" x14ac:dyDescent="0.25">
      <c r="AA2344" s="237"/>
      <c r="AB2344" s="237"/>
      <c r="AC2344" s="237"/>
      <c r="AD2344" s="237"/>
      <c r="AE2344" s="237"/>
      <c r="AF2344" s="237"/>
      <c r="AG2344" s="237"/>
      <c r="AH2344" s="237"/>
      <c r="AJ2344" s="238"/>
    </row>
    <row r="2345" spans="27:36" x14ac:dyDescent="0.25">
      <c r="AA2345" s="237"/>
      <c r="AB2345" s="237"/>
      <c r="AC2345" s="237"/>
      <c r="AD2345" s="237"/>
      <c r="AE2345" s="237"/>
      <c r="AF2345" s="237"/>
      <c r="AG2345" s="237"/>
      <c r="AH2345" s="237"/>
      <c r="AJ2345" s="238"/>
    </row>
    <row r="2346" spans="27:36" x14ac:dyDescent="0.25">
      <c r="AA2346" s="237"/>
      <c r="AB2346" s="237"/>
      <c r="AC2346" s="237"/>
      <c r="AD2346" s="237"/>
      <c r="AE2346" s="237"/>
      <c r="AF2346" s="237"/>
      <c r="AG2346" s="237"/>
      <c r="AH2346" s="237"/>
      <c r="AJ2346" s="238"/>
    </row>
    <row r="2347" spans="27:36" x14ac:dyDescent="0.25">
      <c r="AA2347" s="237"/>
      <c r="AB2347" s="237"/>
      <c r="AC2347" s="237"/>
      <c r="AD2347" s="237"/>
      <c r="AE2347" s="237"/>
      <c r="AF2347" s="237"/>
      <c r="AG2347" s="237"/>
      <c r="AH2347" s="237"/>
      <c r="AJ2347" s="238"/>
    </row>
    <row r="2348" spans="27:36" x14ac:dyDescent="0.25">
      <c r="AA2348" s="237"/>
      <c r="AB2348" s="237"/>
      <c r="AC2348" s="237"/>
      <c r="AD2348" s="237"/>
      <c r="AE2348" s="237"/>
      <c r="AF2348" s="237"/>
      <c r="AG2348" s="237"/>
      <c r="AH2348" s="237"/>
      <c r="AJ2348" s="238"/>
    </row>
    <row r="2349" spans="27:36" x14ac:dyDescent="0.25">
      <c r="AA2349" s="237"/>
      <c r="AB2349" s="237"/>
      <c r="AC2349" s="237"/>
      <c r="AD2349" s="237"/>
      <c r="AE2349" s="237"/>
      <c r="AF2349" s="237"/>
      <c r="AG2349" s="237"/>
      <c r="AH2349" s="237"/>
      <c r="AJ2349" s="238"/>
    </row>
    <row r="2350" spans="27:36" x14ac:dyDescent="0.25">
      <c r="AA2350" s="237"/>
      <c r="AB2350" s="237"/>
      <c r="AC2350" s="237"/>
      <c r="AD2350" s="237"/>
      <c r="AE2350" s="237"/>
      <c r="AF2350" s="237"/>
      <c r="AG2350" s="237"/>
      <c r="AH2350" s="237"/>
      <c r="AJ2350" s="238"/>
    </row>
    <row r="2351" spans="27:36" x14ac:dyDescent="0.25">
      <c r="AA2351" s="237"/>
      <c r="AB2351" s="237"/>
      <c r="AC2351" s="237"/>
      <c r="AD2351" s="237"/>
      <c r="AE2351" s="237"/>
      <c r="AF2351" s="237"/>
      <c r="AG2351" s="237"/>
      <c r="AH2351" s="237"/>
      <c r="AJ2351" s="238"/>
    </row>
    <row r="2352" spans="27:36" x14ac:dyDescent="0.25">
      <c r="AA2352" s="237"/>
      <c r="AB2352" s="237"/>
      <c r="AC2352" s="237"/>
      <c r="AD2352" s="237"/>
      <c r="AE2352" s="237"/>
      <c r="AF2352" s="237"/>
      <c r="AG2352" s="237"/>
      <c r="AH2352" s="237"/>
      <c r="AJ2352" s="238"/>
    </row>
    <row r="2353" spans="1:39" x14ac:dyDescent="0.25">
      <c r="AA2353" s="237"/>
      <c r="AB2353" s="237"/>
      <c r="AC2353" s="237"/>
      <c r="AD2353" s="237"/>
      <c r="AE2353" s="237"/>
      <c r="AF2353" s="237"/>
      <c r="AG2353" s="237"/>
      <c r="AH2353" s="237"/>
      <c r="AJ2353" s="238"/>
    </row>
    <row r="2354" spans="1:39" x14ac:dyDescent="0.25">
      <c r="AA2354" s="237"/>
      <c r="AB2354" s="237"/>
      <c r="AC2354" s="237"/>
      <c r="AD2354" s="237"/>
      <c r="AE2354" s="237"/>
      <c r="AF2354" s="237"/>
      <c r="AG2354" s="237"/>
      <c r="AH2354" s="237"/>
      <c r="AJ2354" s="238"/>
    </row>
    <row r="2355" spans="1:39" x14ac:dyDescent="0.25">
      <c r="AA2355" s="237"/>
      <c r="AB2355" s="237"/>
      <c r="AC2355" s="237"/>
      <c r="AD2355" s="237"/>
      <c r="AE2355" s="237"/>
      <c r="AF2355" s="237"/>
      <c r="AG2355" s="237"/>
      <c r="AH2355" s="237"/>
      <c r="AJ2355" s="238"/>
    </row>
    <row r="2356" spans="1:39" x14ac:dyDescent="0.25">
      <c r="AA2356" s="237"/>
      <c r="AB2356" s="237"/>
      <c r="AC2356" s="237"/>
      <c r="AD2356" s="237"/>
      <c r="AE2356" s="237"/>
      <c r="AF2356" s="237"/>
      <c r="AG2356" s="237"/>
      <c r="AH2356" s="237"/>
      <c r="AJ2356" s="238"/>
    </row>
    <row r="2357" spans="1:39" x14ac:dyDescent="0.25">
      <c r="AA2357" s="237"/>
      <c r="AB2357" s="237"/>
      <c r="AC2357" s="237"/>
      <c r="AD2357" s="237"/>
      <c r="AE2357" s="237"/>
      <c r="AF2357" s="237"/>
      <c r="AG2357" s="237"/>
      <c r="AH2357" s="237"/>
      <c r="AJ2357" s="238"/>
    </row>
    <row r="2358" spans="1:39" ht="12.75" x14ac:dyDescent="0.2">
      <c r="AL2358" s="226"/>
      <c r="AM2358" s="226"/>
    </row>
    <row r="2359" spans="1:39" ht="12.75" x14ac:dyDescent="0.2">
      <c r="A2359" s="236"/>
      <c r="B2359" s="236"/>
      <c r="C2359" s="236"/>
      <c r="D2359" s="236"/>
      <c r="E2359" s="237"/>
      <c r="G2359" s="237"/>
      <c r="H2359" s="237"/>
      <c r="I2359" s="237"/>
      <c r="K2359" s="237"/>
      <c r="N2359" s="237"/>
      <c r="O2359" s="237"/>
      <c r="P2359" s="237"/>
      <c r="Q2359" s="237"/>
      <c r="AL2359" s="226"/>
      <c r="AM2359" s="226"/>
    </row>
    <row r="2360" spans="1:39" x14ac:dyDescent="0.25">
      <c r="AA2360" s="237"/>
      <c r="AB2360" s="237"/>
      <c r="AC2360" s="237"/>
      <c r="AD2360" s="237"/>
      <c r="AE2360" s="237"/>
      <c r="AF2360" s="237"/>
      <c r="AG2360" s="237"/>
      <c r="AH2360" s="237"/>
      <c r="AJ2360" s="238"/>
    </row>
    <row r="2361" spans="1:39" x14ac:dyDescent="0.25">
      <c r="AA2361" s="237"/>
      <c r="AB2361" s="237"/>
      <c r="AC2361" s="237"/>
      <c r="AD2361" s="237"/>
      <c r="AE2361" s="237"/>
      <c r="AF2361" s="237"/>
      <c r="AG2361" s="237"/>
      <c r="AH2361" s="237"/>
      <c r="AJ2361" s="238"/>
    </row>
    <row r="2362" spans="1:39" ht="12.75" x14ac:dyDescent="0.2">
      <c r="AL2362" s="226"/>
      <c r="AM2362" s="226"/>
    </row>
    <row r="2363" spans="1:39" ht="12.75" x14ac:dyDescent="0.2">
      <c r="A2363" s="236"/>
      <c r="B2363" s="236"/>
      <c r="C2363" s="236"/>
      <c r="D2363" s="236"/>
      <c r="E2363" s="237"/>
      <c r="G2363" s="237"/>
      <c r="H2363" s="237"/>
      <c r="I2363" s="237"/>
      <c r="K2363" s="237"/>
      <c r="N2363" s="237"/>
      <c r="O2363" s="237"/>
      <c r="P2363" s="237"/>
      <c r="Q2363" s="237"/>
      <c r="AL2363" s="226"/>
      <c r="AM2363" s="226"/>
    </row>
    <row r="2364" spans="1:39" x14ac:dyDescent="0.25">
      <c r="AA2364" s="237"/>
      <c r="AB2364" s="237"/>
      <c r="AC2364" s="237"/>
      <c r="AD2364" s="237"/>
      <c r="AE2364" s="237"/>
      <c r="AF2364" s="237"/>
      <c r="AG2364" s="237"/>
      <c r="AH2364" s="237"/>
      <c r="AJ2364" s="238"/>
    </row>
    <row r="2365" spans="1:39" ht="12.75" x14ac:dyDescent="0.2">
      <c r="AL2365" s="226"/>
      <c r="AM2365" s="226"/>
    </row>
    <row r="2366" spans="1:39" ht="12.75" x14ac:dyDescent="0.2">
      <c r="A2366" s="236"/>
      <c r="B2366" s="236"/>
      <c r="C2366" s="236"/>
      <c r="D2366" s="236"/>
      <c r="E2366" s="237"/>
      <c r="G2366" s="237"/>
      <c r="H2366" s="237"/>
      <c r="I2366" s="237"/>
      <c r="K2366" s="237"/>
      <c r="N2366" s="237"/>
      <c r="O2366" s="237"/>
      <c r="P2366" s="237"/>
      <c r="Q2366" s="237"/>
      <c r="AL2366" s="226"/>
      <c r="AM2366" s="226"/>
    </row>
    <row r="2367" spans="1:39" x14ac:dyDescent="0.25">
      <c r="AA2367" s="237"/>
      <c r="AB2367" s="237"/>
      <c r="AC2367" s="237"/>
      <c r="AD2367" s="237"/>
      <c r="AE2367" s="237"/>
      <c r="AF2367" s="237"/>
      <c r="AG2367" s="237"/>
      <c r="AH2367" s="237"/>
      <c r="AJ2367" s="238"/>
    </row>
    <row r="2368" spans="1:39" x14ac:dyDescent="0.25">
      <c r="AA2368" s="237"/>
      <c r="AB2368" s="237"/>
      <c r="AC2368" s="237"/>
      <c r="AD2368" s="237"/>
      <c r="AE2368" s="237"/>
      <c r="AF2368" s="237"/>
      <c r="AG2368" s="237"/>
      <c r="AH2368" s="237"/>
      <c r="AJ2368" s="238"/>
    </row>
    <row r="2369" spans="1:39" x14ac:dyDescent="0.25">
      <c r="AA2369" s="237"/>
      <c r="AB2369" s="237"/>
      <c r="AC2369" s="237"/>
      <c r="AD2369" s="237"/>
      <c r="AE2369" s="237"/>
      <c r="AF2369" s="237"/>
      <c r="AG2369" s="237"/>
      <c r="AH2369" s="237"/>
      <c r="AJ2369" s="238"/>
    </row>
    <row r="2370" spans="1:39" x14ac:dyDescent="0.25">
      <c r="AA2370" s="237"/>
      <c r="AB2370" s="237"/>
      <c r="AC2370" s="237"/>
      <c r="AD2370" s="237"/>
      <c r="AE2370" s="237"/>
      <c r="AF2370" s="237"/>
      <c r="AG2370" s="237"/>
      <c r="AH2370" s="237"/>
      <c r="AJ2370" s="238"/>
    </row>
    <row r="2371" spans="1:39" x14ac:dyDescent="0.25">
      <c r="AA2371" s="237"/>
      <c r="AB2371" s="237"/>
      <c r="AC2371" s="237"/>
      <c r="AD2371" s="237"/>
      <c r="AE2371" s="237"/>
      <c r="AF2371" s="237"/>
      <c r="AG2371" s="237"/>
      <c r="AH2371" s="237"/>
      <c r="AJ2371" s="238"/>
    </row>
    <row r="2372" spans="1:39" ht="12.75" x14ac:dyDescent="0.2">
      <c r="AL2372" s="226"/>
      <c r="AM2372" s="226"/>
    </row>
    <row r="2373" spans="1:39" ht="12.75" x14ac:dyDescent="0.2">
      <c r="A2373" s="236"/>
      <c r="B2373" s="236"/>
      <c r="C2373" s="236"/>
      <c r="D2373" s="236"/>
      <c r="E2373" s="237"/>
      <c r="G2373" s="237"/>
      <c r="H2373" s="237"/>
      <c r="I2373" s="237"/>
      <c r="K2373" s="237"/>
      <c r="N2373" s="237"/>
      <c r="O2373" s="237"/>
      <c r="P2373" s="237"/>
      <c r="Q2373" s="237"/>
      <c r="AL2373" s="226"/>
      <c r="AM2373" s="226"/>
    </row>
    <row r="2374" spans="1:39" x14ac:dyDescent="0.25">
      <c r="AA2374" s="237"/>
      <c r="AB2374" s="237"/>
      <c r="AC2374" s="237"/>
      <c r="AD2374" s="237"/>
      <c r="AE2374" s="237"/>
      <c r="AF2374" s="237"/>
      <c r="AG2374" s="237"/>
      <c r="AH2374" s="237"/>
      <c r="AJ2374" s="238"/>
    </row>
    <row r="2375" spans="1:39" x14ac:dyDescent="0.25">
      <c r="AA2375" s="237"/>
      <c r="AB2375" s="237"/>
      <c r="AC2375" s="237"/>
      <c r="AD2375" s="237"/>
      <c r="AE2375" s="237"/>
      <c r="AF2375" s="237"/>
      <c r="AG2375" s="237"/>
      <c r="AH2375" s="237"/>
      <c r="AJ2375" s="238"/>
    </row>
    <row r="2376" spans="1:39" x14ac:dyDescent="0.25">
      <c r="AA2376" s="237"/>
      <c r="AB2376" s="237"/>
      <c r="AC2376" s="237"/>
      <c r="AD2376" s="237"/>
      <c r="AE2376" s="237"/>
      <c r="AF2376" s="237"/>
      <c r="AG2376" s="237"/>
      <c r="AH2376" s="237"/>
      <c r="AJ2376" s="238"/>
    </row>
    <row r="2377" spans="1:39" x14ac:dyDescent="0.25">
      <c r="AA2377" s="237"/>
      <c r="AB2377" s="237"/>
      <c r="AC2377" s="237"/>
      <c r="AD2377" s="237"/>
      <c r="AE2377" s="237"/>
      <c r="AF2377" s="237"/>
      <c r="AG2377" s="237"/>
      <c r="AH2377" s="237"/>
      <c r="AJ2377" s="238"/>
    </row>
    <row r="2378" spans="1:39" x14ac:dyDescent="0.25">
      <c r="AA2378" s="237"/>
      <c r="AB2378" s="237"/>
      <c r="AC2378" s="237"/>
      <c r="AD2378" s="237"/>
      <c r="AE2378" s="237"/>
      <c r="AF2378" s="237"/>
      <c r="AG2378" s="237"/>
      <c r="AH2378" s="237"/>
      <c r="AJ2378" s="238"/>
    </row>
    <row r="2379" spans="1:39" x14ac:dyDescent="0.25">
      <c r="AA2379" s="237"/>
      <c r="AB2379" s="237"/>
      <c r="AC2379" s="237"/>
      <c r="AD2379" s="237"/>
      <c r="AE2379" s="237"/>
      <c r="AF2379" s="237"/>
      <c r="AG2379" s="237"/>
      <c r="AH2379" s="237"/>
      <c r="AJ2379" s="238"/>
    </row>
    <row r="2380" spans="1:39" x14ac:dyDescent="0.25">
      <c r="AA2380" s="237"/>
      <c r="AB2380" s="237"/>
      <c r="AC2380" s="237"/>
      <c r="AD2380" s="237"/>
      <c r="AE2380" s="237"/>
      <c r="AF2380" s="237"/>
      <c r="AG2380" s="237"/>
      <c r="AH2380" s="237"/>
      <c r="AJ2380" s="238"/>
    </row>
    <row r="2381" spans="1:39" x14ac:dyDescent="0.25">
      <c r="AA2381" s="237"/>
      <c r="AB2381" s="237"/>
      <c r="AC2381" s="237"/>
      <c r="AD2381" s="237"/>
      <c r="AE2381" s="237"/>
      <c r="AF2381" s="237"/>
      <c r="AG2381" s="237"/>
      <c r="AH2381" s="237"/>
      <c r="AJ2381" s="238"/>
    </row>
    <row r="2382" spans="1:39" ht="12.75" x14ac:dyDescent="0.2">
      <c r="AL2382" s="226"/>
      <c r="AM2382" s="226"/>
    </row>
    <row r="2383" spans="1:39" ht="12.75" x14ac:dyDescent="0.2">
      <c r="A2383" s="236"/>
      <c r="B2383" s="236"/>
      <c r="C2383" s="236"/>
      <c r="D2383" s="236"/>
      <c r="E2383" s="237"/>
      <c r="G2383" s="237"/>
      <c r="H2383" s="237"/>
      <c r="I2383" s="237"/>
      <c r="K2383" s="237"/>
      <c r="N2383" s="237"/>
      <c r="O2383" s="237"/>
      <c r="P2383" s="237"/>
      <c r="Q2383" s="237"/>
      <c r="AL2383" s="226"/>
      <c r="AM2383" s="226"/>
    </row>
    <row r="2384" spans="1:39" x14ac:dyDescent="0.25">
      <c r="AA2384" s="237"/>
      <c r="AB2384" s="237"/>
      <c r="AC2384" s="237"/>
      <c r="AD2384" s="237"/>
      <c r="AE2384" s="237"/>
      <c r="AF2384" s="237"/>
      <c r="AG2384" s="237"/>
      <c r="AH2384" s="237"/>
      <c r="AJ2384" s="238"/>
    </row>
    <row r="2385" spans="1:39" x14ac:dyDescent="0.25">
      <c r="AA2385" s="237"/>
      <c r="AB2385" s="237"/>
      <c r="AC2385" s="237"/>
      <c r="AD2385" s="237"/>
      <c r="AE2385" s="237"/>
      <c r="AF2385" s="237"/>
      <c r="AG2385" s="237"/>
      <c r="AH2385" s="237"/>
      <c r="AJ2385" s="238"/>
    </row>
    <row r="2386" spans="1:39" ht="12.75" x14ac:dyDescent="0.2">
      <c r="AL2386" s="226"/>
      <c r="AM2386" s="226"/>
    </row>
    <row r="2387" spans="1:39" ht="12.75" x14ac:dyDescent="0.2">
      <c r="A2387" s="236"/>
      <c r="B2387" s="236"/>
      <c r="C2387" s="236"/>
      <c r="D2387" s="236"/>
      <c r="E2387" s="237"/>
      <c r="G2387" s="237"/>
      <c r="H2387" s="237"/>
      <c r="I2387" s="237"/>
      <c r="K2387" s="237"/>
      <c r="N2387" s="237"/>
      <c r="O2387" s="237"/>
      <c r="P2387" s="237"/>
      <c r="Q2387" s="237"/>
      <c r="AL2387" s="226"/>
      <c r="AM2387" s="226"/>
    </row>
    <row r="2388" spans="1:39" x14ac:dyDescent="0.25">
      <c r="AA2388" s="237"/>
      <c r="AB2388" s="237"/>
      <c r="AC2388" s="237"/>
      <c r="AD2388" s="237"/>
      <c r="AE2388" s="237"/>
      <c r="AF2388" s="237"/>
      <c r="AG2388" s="237"/>
      <c r="AH2388" s="237"/>
      <c r="AJ2388" s="238"/>
    </row>
    <row r="2389" spans="1:39" ht="12.75" x14ac:dyDescent="0.2">
      <c r="AL2389" s="226"/>
      <c r="AM2389" s="226"/>
    </row>
    <row r="2390" spans="1:39" ht="12.75" x14ac:dyDescent="0.2">
      <c r="A2390" s="236"/>
      <c r="B2390" s="236"/>
      <c r="C2390" s="236"/>
      <c r="D2390" s="236"/>
      <c r="E2390" s="237"/>
      <c r="G2390" s="237"/>
      <c r="H2390" s="237"/>
      <c r="I2390" s="237"/>
      <c r="K2390" s="237"/>
      <c r="N2390" s="237"/>
      <c r="O2390" s="237"/>
      <c r="P2390" s="237"/>
      <c r="Q2390" s="237"/>
      <c r="AL2390" s="226"/>
      <c r="AM2390" s="226"/>
    </row>
    <row r="2391" spans="1:39" x14ac:dyDescent="0.25">
      <c r="AA2391" s="237"/>
      <c r="AB2391" s="237"/>
      <c r="AC2391" s="237"/>
      <c r="AD2391" s="237"/>
      <c r="AE2391" s="237"/>
      <c r="AF2391" s="237"/>
      <c r="AG2391" s="237"/>
      <c r="AH2391" s="237"/>
      <c r="AJ2391" s="238"/>
    </row>
    <row r="2392" spans="1:39" ht="12.75" x14ac:dyDescent="0.2">
      <c r="AL2392" s="226"/>
      <c r="AM2392" s="226"/>
    </row>
    <row r="2393" spans="1:39" ht="12.75" x14ac:dyDescent="0.2">
      <c r="A2393" s="236"/>
      <c r="B2393" s="236"/>
      <c r="C2393" s="236"/>
      <c r="D2393" s="236"/>
      <c r="E2393" s="237"/>
      <c r="G2393" s="237"/>
      <c r="H2393" s="237"/>
      <c r="I2393" s="237"/>
      <c r="K2393" s="237"/>
      <c r="N2393" s="237"/>
      <c r="O2393" s="237"/>
      <c r="P2393" s="237"/>
      <c r="Q2393" s="237"/>
      <c r="AL2393" s="226"/>
      <c r="AM2393" s="226"/>
    </row>
    <row r="2394" spans="1:39" x14ac:dyDescent="0.25">
      <c r="AA2394" s="237"/>
      <c r="AB2394" s="237"/>
      <c r="AC2394" s="237"/>
      <c r="AD2394" s="237"/>
      <c r="AE2394" s="237"/>
      <c r="AF2394" s="237"/>
      <c r="AG2394" s="237"/>
      <c r="AH2394" s="237"/>
      <c r="AJ2394" s="238"/>
    </row>
    <row r="2395" spans="1:39" ht="12.75" x14ac:dyDescent="0.2">
      <c r="AL2395" s="226"/>
      <c r="AM2395" s="226"/>
    </row>
    <row r="2396" spans="1:39" ht="12.75" x14ac:dyDescent="0.2">
      <c r="A2396" s="236"/>
      <c r="B2396" s="236"/>
      <c r="C2396" s="236"/>
      <c r="D2396" s="236"/>
      <c r="E2396" s="237"/>
      <c r="G2396" s="237"/>
      <c r="H2396" s="237"/>
      <c r="I2396" s="237"/>
      <c r="K2396" s="237"/>
      <c r="N2396" s="237"/>
      <c r="O2396" s="237"/>
      <c r="P2396" s="237"/>
      <c r="Q2396" s="237"/>
      <c r="AL2396" s="226"/>
      <c r="AM2396" s="226"/>
    </row>
    <row r="2397" spans="1:39" x14ac:dyDescent="0.25">
      <c r="AA2397" s="237"/>
      <c r="AB2397" s="237"/>
      <c r="AC2397" s="237"/>
      <c r="AD2397" s="237"/>
      <c r="AE2397" s="237"/>
      <c r="AF2397" s="237"/>
      <c r="AG2397" s="237"/>
      <c r="AH2397" s="237"/>
      <c r="AJ2397" s="238"/>
    </row>
    <row r="2398" spans="1:39" x14ac:dyDescent="0.25">
      <c r="AA2398" s="237"/>
      <c r="AB2398" s="237"/>
      <c r="AC2398" s="237"/>
      <c r="AD2398" s="237"/>
      <c r="AE2398" s="237"/>
      <c r="AF2398" s="237"/>
      <c r="AG2398" s="237"/>
      <c r="AH2398" s="237"/>
      <c r="AJ2398" s="238"/>
    </row>
    <row r="2399" spans="1:39" x14ac:dyDescent="0.25">
      <c r="AA2399" s="237"/>
      <c r="AB2399" s="237"/>
      <c r="AC2399" s="237"/>
      <c r="AD2399" s="237"/>
      <c r="AE2399" s="237"/>
      <c r="AF2399" s="237"/>
      <c r="AG2399" s="237"/>
      <c r="AH2399" s="237"/>
      <c r="AJ2399" s="238"/>
    </row>
    <row r="2400" spans="1:39" ht="12.75" x14ac:dyDescent="0.2">
      <c r="AL2400" s="226"/>
      <c r="AM2400" s="226"/>
    </row>
    <row r="2401" spans="1:39" ht="12.75" x14ac:dyDescent="0.2">
      <c r="A2401" s="236"/>
      <c r="B2401" s="236"/>
      <c r="C2401" s="236"/>
      <c r="D2401" s="236"/>
      <c r="E2401" s="237"/>
      <c r="G2401" s="237"/>
      <c r="H2401" s="237"/>
      <c r="I2401" s="237"/>
      <c r="K2401" s="237"/>
      <c r="N2401" s="237"/>
      <c r="O2401" s="237"/>
      <c r="P2401" s="237"/>
      <c r="Q2401" s="237"/>
      <c r="AL2401" s="226"/>
      <c r="AM2401" s="226"/>
    </row>
    <row r="2402" spans="1:39" x14ac:dyDescent="0.25">
      <c r="AA2402" s="237"/>
      <c r="AB2402" s="237"/>
      <c r="AC2402" s="237"/>
      <c r="AD2402" s="237"/>
      <c r="AE2402" s="237"/>
      <c r="AF2402" s="237"/>
      <c r="AG2402" s="237"/>
      <c r="AH2402" s="237"/>
      <c r="AJ2402" s="238"/>
    </row>
    <row r="2403" spans="1:39" ht="12.75" x14ac:dyDescent="0.2">
      <c r="AL2403" s="226"/>
      <c r="AM2403" s="226"/>
    </row>
    <row r="2404" spans="1:39" ht="12.75" x14ac:dyDescent="0.2">
      <c r="A2404" s="236"/>
      <c r="B2404" s="236"/>
      <c r="C2404" s="236"/>
      <c r="D2404" s="236"/>
      <c r="E2404" s="237"/>
      <c r="G2404" s="237"/>
      <c r="H2404" s="237"/>
      <c r="I2404" s="237"/>
      <c r="K2404" s="237"/>
      <c r="N2404" s="237"/>
      <c r="O2404" s="237"/>
      <c r="P2404" s="237"/>
      <c r="Q2404" s="237"/>
      <c r="AL2404" s="226"/>
      <c r="AM2404" s="226"/>
    </row>
    <row r="2405" spans="1:39" x14ac:dyDescent="0.25">
      <c r="AA2405" s="237"/>
      <c r="AB2405" s="237"/>
      <c r="AC2405" s="237"/>
      <c r="AD2405" s="237"/>
      <c r="AE2405" s="237"/>
      <c r="AF2405" s="237"/>
      <c r="AG2405" s="237"/>
      <c r="AH2405" s="237"/>
      <c r="AJ2405" s="238"/>
    </row>
    <row r="2406" spans="1:39" x14ac:dyDescent="0.25">
      <c r="T2406" s="240"/>
      <c r="U2406" s="240"/>
      <c r="V2406" s="240"/>
      <c r="W2406" s="240"/>
      <c r="Y2406" s="240"/>
      <c r="Z2406" s="240"/>
      <c r="AA2406" s="241"/>
      <c r="AB2406" s="241"/>
      <c r="AC2406" s="241"/>
      <c r="AD2406" s="241"/>
      <c r="AE2406" s="241"/>
      <c r="AF2406" s="241"/>
      <c r="AG2406" s="241"/>
      <c r="AH2406" s="241"/>
      <c r="AJ2406" s="238"/>
    </row>
    <row r="2407" spans="1:39" x14ac:dyDescent="0.25">
      <c r="AA2407" s="237"/>
      <c r="AB2407" s="237"/>
      <c r="AC2407" s="237"/>
      <c r="AD2407" s="237"/>
      <c r="AE2407" s="237"/>
      <c r="AF2407" s="237"/>
      <c r="AG2407" s="237"/>
      <c r="AH2407" s="237"/>
      <c r="AJ2407" s="238"/>
    </row>
    <row r="2408" spans="1:39" x14ac:dyDescent="0.25">
      <c r="AA2408" s="237"/>
      <c r="AB2408" s="237"/>
      <c r="AC2408" s="237"/>
      <c r="AD2408" s="237"/>
      <c r="AE2408" s="237"/>
      <c r="AF2408" s="237"/>
      <c r="AG2408" s="237"/>
      <c r="AH2408" s="237"/>
      <c r="AJ2408" s="238"/>
    </row>
    <row r="2409" spans="1:39" ht="12.75" x14ac:dyDescent="0.2">
      <c r="AL2409" s="226"/>
      <c r="AM2409" s="226"/>
    </row>
    <row r="2410" spans="1:39" ht="12.75" x14ac:dyDescent="0.2">
      <c r="A2410" s="236"/>
      <c r="B2410" s="236"/>
      <c r="C2410" s="236"/>
      <c r="D2410" s="236"/>
      <c r="E2410" s="237"/>
      <c r="G2410" s="237"/>
      <c r="H2410" s="237"/>
      <c r="I2410" s="237"/>
      <c r="K2410" s="237"/>
      <c r="N2410" s="237"/>
      <c r="O2410" s="237"/>
      <c r="P2410" s="237"/>
      <c r="Q2410" s="237"/>
      <c r="AL2410" s="226"/>
      <c r="AM2410" s="226"/>
    </row>
    <row r="2411" spans="1:39" x14ac:dyDescent="0.25">
      <c r="AA2411" s="237"/>
      <c r="AB2411" s="237"/>
      <c r="AC2411" s="237"/>
      <c r="AD2411" s="237"/>
      <c r="AE2411" s="237"/>
      <c r="AF2411" s="237"/>
      <c r="AG2411" s="237"/>
      <c r="AH2411" s="237"/>
      <c r="AJ2411" s="238"/>
    </row>
    <row r="2412" spans="1:39" x14ac:dyDescent="0.25">
      <c r="AA2412" s="237"/>
      <c r="AB2412" s="237"/>
      <c r="AC2412" s="237"/>
      <c r="AD2412" s="237"/>
      <c r="AE2412" s="237"/>
      <c r="AF2412" s="237"/>
      <c r="AG2412" s="237"/>
      <c r="AH2412" s="237"/>
      <c r="AJ2412" s="238"/>
    </row>
    <row r="2413" spans="1:39" x14ac:dyDescent="0.25">
      <c r="AA2413" s="237"/>
      <c r="AB2413" s="237"/>
      <c r="AC2413" s="237"/>
      <c r="AD2413" s="237"/>
      <c r="AE2413" s="237"/>
      <c r="AF2413" s="237"/>
      <c r="AG2413" s="237"/>
      <c r="AH2413" s="237"/>
      <c r="AJ2413" s="238"/>
    </row>
    <row r="2414" spans="1:39" ht="12.75" x14ac:dyDescent="0.2">
      <c r="AL2414" s="226"/>
      <c r="AM2414" s="226"/>
    </row>
    <row r="2415" spans="1:39" ht="12.75" x14ac:dyDescent="0.2">
      <c r="A2415" s="236"/>
      <c r="B2415" s="236"/>
      <c r="C2415" s="236"/>
      <c r="D2415" s="236"/>
      <c r="E2415" s="237"/>
      <c r="G2415" s="237"/>
      <c r="H2415" s="237"/>
      <c r="I2415" s="237"/>
      <c r="K2415" s="237"/>
      <c r="N2415" s="237"/>
      <c r="O2415" s="237"/>
      <c r="P2415" s="237"/>
      <c r="Q2415" s="237"/>
      <c r="AL2415" s="226"/>
      <c r="AM2415" s="226"/>
    </row>
    <row r="2416" spans="1:39" x14ac:dyDescent="0.25">
      <c r="AA2416" s="237"/>
      <c r="AB2416" s="237"/>
      <c r="AC2416" s="237"/>
      <c r="AD2416" s="237"/>
      <c r="AE2416" s="237"/>
      <c r="AF2416" s="237"/>
      <c r="AG2416" s="237"/>
      <c r="AH2416" s="237"/>
      <c r="AJ2416" s="238"/>
    </row>
    <row r="2417" spans="1:39" x14ac:dyDescent="0.25">
      <c r="AA2417" s="237"/>
      <c r="AB2417" s="237"/>
      <c r="AC2417" s="237"/>
      <c r="AD2417" s="237"/>
      <c r="AE2417" s="237"/>
      <c r="AF2417" s="237"/>
      <c r="AG2417" s="237"/>
      <c r="AH2417" s="237"/>
      <c r="AJ2417" s="238"/>
    </row>
    <row r="2418" spans="1:39" ht="12.75" x14ac:dyDescent="0.2">
      <c r="AL2418" s="226"/>
      <c r="AM2418" s="226"/>
    </row>
    <row r="2419" spans="1:39" ht="12.75" x14ac:dyDescent="0.2">
      <c r="A2419" s="236"/>
      <c r="B2419" s="236"/>
      <c r="C2419" s="236"/>
      <c r="D2419" s="236"/>
      <c r="E2419" s="237"/>
      <c r="G2419" s="237"/>
      <c r="H2419" s="237"/>
      <c r="I2419" s="237"/>
      <c r="K2419" s="237"/>
      <c r="N2419" s="237"/>
      <c r="O2419" s="237"/>
      <c r="P2419" s="237"/>
      <c r="Q2419" s="237"/>
      <c r="AL2419" s="226"/>
      <c r="AM2419" s="226"/>
    </row>
    <row r="2420" spans="1:39" x14ac:dyDescent="0.25">
      <c r="AA2420" s="237"/>
      <c r="AB2420" s="237"/>
      <c r="AC2420" s="237"/>
      <c r="AD2420" s="237"/>
      <c r="AE2420" s="237"/>
      <c r="AF2420" s="237"/>
      <c r="AG2420" s="237"/>
      <c r="AH2420" s="237"/>
      <c r="AJ2420" s="238"/>
    </row>
    <row r="2421" spans="1:39" x14ac:dyDescent="0.25">
      <c r="AA2421" s="237"/>
      <c r="AB2421" s="237"/>
      <c r="AC2421" s="237"/>
      <c r="AD2421" s="237"/>
      <c r="AE2421" s="237"/>
      <c r="AF2421" s="237"/>
      <c r="AG2421" s="237"/>
      <c r="AH2421" s="237"/>
      <c r="AJ2421" s="238"/>
    </row>
    <row r="2422" spans="1:39" x14ac:dyDescent="0.25">
      <c r="AA2422" s="237"/>
      <c r="AB2422" s="237"/>
      <c r="AC2422" s="237"/>
      <c r="AD2422" s="237"/>
      <c r="AE2422" s="237"/>
      <c r="AF2422" s="237"/>
      <c r="AG2422" s="237"/>
      <c r="AH2422" s="237"/>
      <c r="AJ2422" s="238"/>
    </row>
    <row r="2423" spans="1:39" x14ac:dyDescent="0.25">
      <c r="AA2423" s="237"/>
      <c r="AB2423" s="237"/>
      <c r="AC2423" s="237"/>
      <c r="AD2423" s="237"/>
      <c r="AE2423" s="237"/>
      <c r="AF2423" s="237"/>
      <c r="AG2423" s="237"/>
      <c r="AH2423" s="237"/>
      <c r="AJ2423" s="238"/>
    </row>
    <row r="2424" spans="1:39" x14ac:dyDescent="0.25">
      <c r="AA2424" s="237"/>
      <c r="AB2424" s="237"/>
      <c r="AC2424" s="237"/>
      <c r="AD2424" s="237"/>
      <c r="AE2424" s="237"/>
      <c r="AF2424" s="237"/>
      <c r="AG2424" s="237"/>
      <c r="AH2424" s="237"/>
      <c r="AJ2424" s="238"/>
    </row>
    <row r="2425" spans="1:39" x14ac:dyDescent="0.25">
      <c r="AA2425" s="237"/>
      <c r="AB2425" s="237"/>
      <c r="AC2425" s="237"/>
      <c r="AD2425" s="237"/>
      <c r="AE2425" s="237"/>
      <c r="AF2425" s="237"/>
      <c r="AG2425" s="237"/>
      <c r="AH2425" s="237"/>
      <c r="AJ2425" s="238"/>
    </row>
    <row r="2426" spans="1:39" x14ac:dyDescent="0.25">
      <c r="AA2426" s="237"/>
      <c r="AB2426" s="237"/>
      <c r="AC2426" s="237"/>
      <c r="AD2426" s="237"/>
      <c r="AE2426" s="237"/>
      <c r="AF2426" s="237"/>
      <c r="AG2426" s="237"/>
      <c r="AH2426" s="237"/>
      <c r="AJ2426" s="238"/>
    </row>
    <row r="2427" spans="1:39" x14ac:dyDescent="0.25">
      <c r="AA2427" s="237"/>
      <c r="AB2427" s="237"/>
      <c r="AC2427" s="237"/>
      <c r="AD2427" s="237"/>
      <c r="AE2427" s="237"/>
      <c r="AF2427" s="237"/>
      <c r="AG2427" s="237"/>
      <c r="AH2427" s="237"/>
      <c r="AJ2427" s="238"/>
    </row>
    <row r="2428" spans="1:39" x14ac:dyDescent="0.25">
      <c r="AA2428" s="237"/>
      <c r="AB2428" s="237"/>
      <c r="AC2428" s="237"/>
      <c r="AD2428" s="237"/>
      <c r="AE2428" s="237"/>
      <c r="AF2428" s="237"/>
      <c r="AG2428" s="237"/>
      <c r="AH2428" s="237"/>
      <c r="AJ2428" s="238"/>
    </row>
    <row r="2429" spans="1:39" x14ac:dyDescent="0.25">
      <c r="AA2429" s="237"/>
      <c r="AB2429" s="237"/>
      <c r="AC2429" s="237"/>
      <c r="AD2429" s="237"/>
      <c r="AE2429" s="237"/>
      <c r="AF2429" s="237"/>
      <c r="AG2429" s="237"/>
      <c r="AH2429" s="237"/>
      <c r="AJ2429" s="238"/>
    </row>
    <row r="2430" spans="1:39" ht="12.75" x14ac:dyDescent="0.2">
      <c r="AL2430" s="226"/>
      <c r="AM2430" s="226"/>
    </row>
    <row r="2431" spans="1:39" ht="12.75" x14ac:dyDescent="0.2">
      <c r="A2431" s="236"/>
      <c r="B2431" s="236"/>
      <c r="C2431" s="236"/>
      <c r="D2431" s="236"/>
      <c r="E2431" s="237"/>
      <c r="G2431" s="237"/>
      <c r="H2431" s="237"/>
      <c r="I2431" s="237"/>
      <c r="K2431" s="237"/>
      <c r="N2431" s="237"/>
      <c r="O2431" s="237"/>
      <c r="P2431" s="237"/>
      <c r="Q2431" s="237"/>
      <c r="AL2431" s="226"/>
      <c r="AM2431" s="226"/>
    </row>
    <row r="2432" spans="1:39" x14ac:dyDescent="0.25">
      <c r="AA2432" s="237"/>
      <c r="AB2432" s="237"/>
      <c r="AC2432" s="237"/>
      <c r="AD2432" s="237"/>
      <c r="AE2432" s="237"/>
      <c r="AF2432" s="237"/>
      <c r="AG2432" s="237"/>
      <c r="AH2432" s="237"/>
      <c r="AJ2432" s="238"/>
    </row>
    <row r="2433" spans="1:39" x14ac:dyDescent="0.25">
      <c r="AA2433" s="237"/>
      <c r="AB2433" s="237"/>
      <c r="AC2433" s="237"/>
      <c r="AD2433" s="237"/>
      <c r="AE2433" s="237"/>
      <c r="AF2433" s="237"/>
      <c r="AG2433" s="237"/>
      <c r="AH2433" s="237"/>
      <c r="AJ2433" s="238"/>
    </row>
    <row r="2434" spans="1:39" ht="12.75" x14ac:dyDescent="0.2">
      <c r="AL2434" s="226"/>
      <c r="AM2434" s="226"/>
    </row>
    <row r="2435" spans="1:39" ht="12.75" x14ac:dyDescent="0.2">
      <c r="A2435" s="236"/>
      <c r="B2435" s="236"/>
      <c r="C2435" s="236"/>
      <c r="D2435" s="236"/>
      <c r="E2435" s="237"/>
      <c r="G2435" s="237"/>
      <c r="H2435" s="237"/>
      <c r="I2435" s="237"/>
      <c r="K2435" s="237"/>
      <c r="N2435" s="237"/>
      <c r="O2435" s="237"/>
      <c r="P2435" s="237"/>
      <c r="Q2435" s="237"/>
      <c r="AL2435" s="226"/>
      <c r="AM2435" s="226"/>
    </row>
    <row r="2436" spans="1:39" x14ac:dyDescent="0.25">
      <c r="AA2436" s="237"/>
      <c r="AB2436" s="237"/>
      <c r="AC2436" s="237"/>
      <c r="AD2436" s="237"/>
      <c r="AE2436" s="237"/>
      <c r="AF2436" s="237"/>
      <c r="AG2436" s="237"/>
      <c r="AH2436" s="237"/>
      <c r="AJ2436" s="238"/>
    </row>
    <row r="2437" spans="1:39" x14ac:dyDescent="0.25">
      <c r="AA2437" s="237"/>
      <c r="AB2437" s="237"/>
      <c r="AC2437" s="237"/>
      <c r="AD2437" s="237"/>
      <c r="AE2437" s="237"/>
      <c r="AF2437" s="237"/>
      <c r="AG2437" s="237"/>
      <c r="AH2437" s="237"/>
      <c r="AJ2437" s="238"/>
    </row>
    <row r="2438" spans="1:39" x14ac:dyDescent="0.25">
      <c r="AA2438" s="237"/>
      <c r="AB2438" s="237"/>
      <c r="AC2438" s="237"/>
      <c r="AD2438" s="237"/>
      <c r="AE2438" s="237"/>
      <c r="AF2438" s="237"/>
      <c r="AG2438" s="237"/>
      <c r="AH2438" s="237"/>
      <c r="AJ2438" s="238"/>
    </row>
    <row r="2439" spans="1:39" x14ac:dyDescent="0.25">
      <c r="AA2439" s="237"/>
      <c r="AB2439" s="237"/>
      <c r="AC2439" s="237"/>
      <c r="AD2439" s="237"/>
      <c r="AE2439" s="237"/>
      <c r="AF2439" s="237"/>
      <c r="AG2439" s="237"/>
      <c r="AH2439" s="237"/>
      <c r="AJ2439" s="238"/>
    </row>
    <row r="2440" spans="1:39" x14ac:dyDescent="0.25">
      <c r="AA2440" s="237"/>
      <c r="AB2440" s="237"/>
      <c r="AC2440" s="237"/>
      <c r="AD2440" s="237"/>
      <c r="AE2440" s="237"/>
      <c r="AF2440" s="237"/>
      <c r="AG2440" s="237"/>
      <c r="AH2440" s="237"/>
      <c r="AJ2440" s="238"/>
    </row>
    <row r="2441" spans="1:39" x14ac:dyDescent="0.25">
      <c r="AA2441" s="237"/>
      <c r="AB2441" s="237"/>
      <c r="AC2441" s="237"/>
      <c r="AD2441" s="237"/>
      <c r="AE2441" s="237"/>
      <c r="AF2441" s="237"/>
      <c r="AG2441" s="237"/>
      <c r="AH2441" s="237"/>
      <c r="AJ2441" s="238"/>
    </row>
    <row r="2442" spans="1:39" x14ac:dyDescent="0.25">
      <c r="AA2442" s="237"/>
      <c r="AB2442" s="237"/>
      <c r="AC2442" s="237"/>
      <c r="AD2442" s="237"/>
      <c r="AE2442" s="237"/>
      <c r="AF2442" s="237"/>
      <c r="AG2442" s="237"/>
      <c r="AH2442" s="237"/>
      <c r="AJ2442" s="238"/>
    </row>
    <row r="2443" spans="1:39" x14ac:dyDescent="0.25">
      <c r="AA2443" s="237"/>
      <c r="AB2443" s="237"/>
      <c r="AC2443" s="237"/>
      <c r="AD2443" s="237"/>
      <c r="AE2443" s="237"/>
      <c r="AF2443" s="237"/>
      <c r="AG2443" s="237"/>
      <c r="AH2443" s="237"/>
      <c r="AJ2443" s="238"/>
    </row>
    <row r="2444" spans="1:39" x14ac:dyDescent="0.25">
      <c r="AA2444" s="237"/>
      <c r="AB2444" s="237"/>
      <c r="AC2444" s="237"/>
      <c r="AD2444" s="237"/>
      <c r="AE2444" s="237"/>
      <c r="AF2444" s="237"/>
      <c r="AG2444" s="237"/>
      <c r="AH2444" s="237"/>
      <c r="AJ2444" s="238"/>
    </row>
    <row r="2445" spans="1:39" x14ac:dyDescent="0.25">
      <c r="AA2445" s="237"/>
      <c r="AB2445" s="237"/>
      <c r="AC2445" s="237"/>
      <c r="AD2445" s="237"/>
      <c r="AE2445" s="237"/>
      <c r="AF2445" s="237"/>
      <c r="AG2445" s="237"/>
      <c r="AH2445" s="237"/>
      <c r="AJ2445" s="238"/>
    </row>
    <row r="2446" spans="1:39" x14ac:dyDescent="0.25">
      <c r="AA2446" s="237"/>
      <c r="AB2446" s="237"/>
      <c r="AC2446" s="237"/>
      <c r="AD2446" s="237"/>
      <c r="AE2446" s="237"/>
      <c r="AF2446" s="237"/>
      <c r="AG2446" s="237"/>
      <c r="AH2446" s="237"/>
      <c r="AJ2446" s="238"/>
    </row>
    <row r="2447" spans="1:39" x14ac:dyDescent="0.25">
      <c r="AA2447" s="237"/>
      <c r="AB2447" s="237"/>
      <c r="AC2447" s="237"/>
      <c r="AD2447" s="237"/>
      <c r="AE2447" s="237"/>
      <c r="AF2447" s="237"/>
      <c r="AG2447" s="237"/>
      <c r="AH2447" s="237"/>
      <c r="AJ2447" s="238"/>
    </row>
    <row r="2448" spans="1:39" x14ac:dyDescent="0.25">
      <c r="AA2448" s="237"/>
      <c r="AB2448" s="237"/>
      <c r="AC2448" s="237"/>
      <c r="AD2448" s="237"/>
      <c r="AE2448" s="237"/>
      <c r="AF2448" s="237"/>
      <c r="AG2448" s="237"/>
      <c r="AH2448" s="237"/>
      <c r="AJ2448" s="238"/>
    </row>
    <row r="2449" spans="1:39" x14ac:dyDescent="0.25">
      <c r="AA2449" s="237"/>
      <c r="AB2449" s="237"/>
      <c r="AC2449" s="237"/>
      <c r="AD2449" s="237"/>
      <c r="AE2449" s="237"/>
      <c r="AF2449" s="237"/>
      <c r="AG2449" s="237"/>
      <c r="AH2449" s="237"/>
      <c r="AJ2449" s="238"/>
    </row>
    <row r="2450" spans="1:39" x14ac:dyDescent="0.25">
      <c r="AA2450" s="237"/>
      <c r="AB2450" s="237"/>
      <c r="AC2450" s="237"/>
      <c r="AD2450" s="237"/>
      <c r="AE2450" s="237"/>
      <c r="AF2450" s="237"/>
      <c r="AG2450" s="237"/>
      <c r="AH2450" s="237"/>
      <c r="AJ2450" s="238"/>
    </row>
    <row r="2451" spans="1:39" x14ac:dyDescent="0.25">
      <c r="AA2451" s="237"/>
      <c r="AB2451" s="237"/>
      <c r="AC2451" s="237"/>
      <c r="AD2451" s="237"/>
      <c r="AE2451" s="237"/>
      <c r="AF2451" s="237"/>
      <c r="AG2451" s="237"/>
      <c r="AH2451" s="237"/>
      <c r="AJ2451" s="238"/>
    </row>
    <row r="2452" spans="1:39" x14ac:dyDescent="0.25">
      <c r="AA2452" s="237"/>
      <c r="AB2452" s="237"/>
      <c r="AC2452" s="237"/>
      <c r="AD2452" s="237"/>
      <c r="AE2452" s="237"/>
      <c r="AF2452" s="237"/>
      <c r="AG2452" s="237"/>
      <c r="AH2452" s="237"/>
      <c r="AJ2452" s="238"/>
    </row>
    <row r="2453" spans="1:39" ht="12.75" x14ac:dyDescent="0.2">
      <c r="AL2453" s="226"/>
      <c r="AM2453" s="226"/>
    </row>
    <row r="2454" spans="1:39" ht="12.75" x14ac:dyDescent="0.2">
      <c r="A2454" s="236"/>
      <c r="B2454" s="236"/>
      <c r="C2454" s="236"/>
      <c r="D2454" s="236"/>
      <c r="E2454" s="237"/>
      <c r="G2454" s="237"/>
      <c r="H2454" s="237"/>
      <c r="I2454" s="237"/>
      <c r="K2454" s="237"/>
      <c r="N2454" s="237"/>
      <c r="O2454" s="237"/>
      <c r="P2454" s="237"/>
      <c r="Q2454" s="237"/>
      <c r="AL2454" s="226"/>
      <c r="AM2454" s="226"/>
    </row>
    <row r="2455" spans="1:39" x14ac:dyDescent="0.25">
      <c r="AA2455" s="237"/>
      <c r="AB2455" s="237"/>
      <c r="AC2455" s="237"/>
      <c r="AD2455" s="237"/>
      <c r="AE2455" s="237"/>
      <c r="AF2455" s="237"/>
      <c r="AG2455" s="237"/>
      <c r="AH2455" s="237"/>
      <c r="AJ2455" s="238"/>
    </row>
    <row r="2456" spans="1:39" x14ac:dyDescent="0.25">
      <c r="AA2456" s="237"/>
      <c r="AB2456" s="237"/>
      <c r="AC2456" s="237"/>
      <c r="AD2456" s="237"/>
      <c r="AE2456" s="237"/>
      <c r="AF2456" s="237"/>
      <c r="AG2456" s="237"/>
      <c r="AH2456" s="237"/>
      <c r="AJ2456" s="238"/>
    </row>
    <row r="2457" spans="1:39" x14ac:dyDescent="0.25">
      <c r="AA2457" s="237"/>
      <c r="AB2457" s="237"/>
      <c r="AC2457" s="237"/>
      <c r="AD2457" s="237"/>
      <c r="AE2457" s="237"/>
      <c r="AF2457" s="237"/>
      <c r="AG2457" s="237"/>
      <c r="AH2457" s="237"/>
      <c r="AJ2457" s="238"/>
    </row>
    <row r="2458" spans="1:39" ht="12.75" x14ac:dyDescent="0.2">
      <c r="AL2458" s="226"/>
      <c r="AM2458" s="226"/>
    </row>
    <row r="2459" spans="1:39" ht="12.75" x14ac:dyDescent="0.2">
      <c r="A2459" s="236"/>
      <c r="B2459" s="236"/>
      <c r="C2459" s="236"/>
      <c r="D2459" s="236"/>
      <c r="E2459" s="237"/>
      <c r="G2459" s="237"/>
      <c r="H2459" s="237"/>
      <c r="I2459" s="237"/>
      <c r="K2459" s="237"/>
      <c r="N2459" s="237"/>
      <c r="O2459" s="237"/>
      <c r="P2459" s="237"/>
      <c r="Q2459" s="237"/>
      <c r="AL2459" s="226"/>
      <c r="AM2459" s="226"/>
    </row>
    <row r="2460" spans="1:39" x14ac:dyDescent="0.25">
      <c r="AA2460" s="237"/>
      <c r="AB2460" s="237"/>
      <c r="AC2460" s="237"/>
      <c r="AD2460" s="237"/>
      <c r="AE2460" s="237"/>
      <c r="AF2460" s="237"/>
      <c r="AG2460" s="237"/>
      <c r="AH2460" s="237"/>
      <c r="AJ2460" s="238"/>
    </row>
    <row r="2461" spans="1:39" ht="12.75" x14ac:dyDescent="0.2">
      <c r="AL2461" s="226"/>
      <c r="AM2461" s="226"/>
    </row>
    <row r="2462" spans="1:39" ht="12.75" x14ac:dyDescent="0.2">
      <c r="A2462" s="236"/>
      <c r="B2462" s="236"/>
      <c r="C2462" s="236"/>
      <c r="D2462" s="236"/>
      <c r="E2462" s="237"/>
      <c r="G2462" s="237"/>
      <c r="H2462" s="237"/>
      <c r="I2462" s="237"/>
      <c r="K2462" s="237"/>
      <c r="N2462" s="237"/>
      <c r="O2462" s="237"/>
      <c r="P2462" s="237"/>
      <c r="Q2462" s="237"/>
      <c r="AL2462" s="226"/>
      <c r="AM2462" s="226"/>
    </row>
    <row r="2463" spans="1:39" x14ac:dyDescent="0.25">
      <c r="AA2463" s="237"/>
      <c r="AB2463" s="237"/>
      <c r="AC2463" s="237"/>
      <c r="AD2463" s="237"/>
      <c r="AE2463" s="237"/>
      <c r="AF2463" s="237"/>
      <c r="AG2463" s="237"/>
      <c r="AH2463" s="237"/>
      <c r="AJ2463" s="238"/>
    </row>
    <row r="2464" spans="1:39" x14ac:dyDescent="0.25">
      <c r="AA2464" s="237"/>
      <c r="AB2464" s="237"/>
      <c r="AC2464" s="237"/>
      <c r="AD2464" s="237"/>
      <c r="AE2464" s="237"/>
      <c r="AF2464" s="237"/>
      <c r="AG2464" s="237"/>
      <c r="AH2464" s="237"/>
      <c r="AJ2464" s="238"/>
    </row>
    <row r="2465" spans="1:39" x14ac:dyDescent="0.25">
      <c r="AA2465" s="237"/>
      <c r="AB2465" s="237"/>
      <c r="AC2465" s="237"/>
      <c r="AD2465" s="237"/>
      <c r="AE2465" s="237"/>
      <c r="AF2465" s="237"/>
      <c r="AG2465" s="237"/>
      <c r="AH2465" s="237"/>
      <c r="AJ2465" s="238"/>
    </row>
    <row r="2466" spans="1:39" x14ac:dyDescent="0.25">
      <c r="AA2466" s="237"/>
      <c r="AB2466" s="237"/>
      <c r="AC2466" s="237"/>
      <c r="AD2466" s="237"/>
      <c r="AE2466" s="237"/>
      <c r="AF2466" s="237"/>
      <c r="AG2466" s="237"/>
      <c r="AH2466" s="237"/>
      <c r="AJ2466" s="238"/>
    </row>
    <row r="2467" spans="1:39" ht="12.75" x14ac:dyDescent="0.2">
      <c r="AL2467" s="226"/>
      <c r="AM2467" s="226"/>
    </row>
    <row r="2468" spans="1:39" ht="12.75" x14ac:dyDescent="0.2">
      <c r="A2468" s="236"/>
      <c r="B2468" s="236"/>
      <c r="C2468" s="236"/>
      <c r="D2468" s="236"/>
      <c r="E2468" s="237"/>
      <c r="G2468" s="237"/>
      <c r="H2468" s="237"/>
      <c r="I2468" s="237"/>
      <c r="K2468" s="237"/>
      <c r="N2468" s="237"/>
      <c r="O2468" s="237"/>
      <c r="P2468" s="237"/>
      <c r="Q2468" s="237"/>
      <c r="AL2468" s="226"/>
      <c r="AM2468" s="226"/>
    </row>
    <row r="2469" spans="1:39" x14ac:dyDescent="0.25">
      <c r="AA2469" s="237"/>
      <c r="AB2469" s="237"/>
      <c r="AC2469" s="237"/>
      <c r="AD2469" s="237"/>
      <c r="AE2469" s="237"/>
      <c r="AF2469" s="237"/>
      <c r="AG2469" s="237"/>
      <c r="AH2469" s="237"/>
      <c r="AJ2469" s="238"/>
    </row>
    <row r="2470" spans="1:39" x14ac:dyDescent="0.25">
      <c r="AA2470" s="237"/>
      <c r="AB2470" s="237"/>
      <c r="AC2470" s="237"/>
      <c r="AD2470" s="237"/>
      <c r="AE2470" s="237"/>
      <c r="AF2470" s="237"/>
      <c r="AG2470" s="237"/>
      <c r="AH2470" s="237"/>
      <c r="AJ2470" s="238"/>
    </row>
    <row r="2471" spans="1:39" x14ac:dyDescent="0.25">
      <c r="AA2471" s="237"/>
      <c r="AB2471" s="237"/>
      <c r="AC2471" s="237"/>
      <c r="AD2471" s="237"/>
      <c r="AE2471" s="237"/>
      <c r="AF2471" s="237"/>
      <c r="AG2471" s="237"/>
      <c r="AH2471" s="237"/>
      <c r="AJ2471" s="238"/>
    </row>
    <row r="2472" spans="1:39" ht="12.75" x14ac:dyDescent="0.2">
      <c r="AL2472" s="226"/>
      <c r="AM2472" s="226"/>
    </row>
    <row r="2473" spans="1:39" ht="12.75" x14ac:dyDescent="0.2">
      <c r="A2473" s="236"/>
      <c r="B2473" s="236"/>
      <c r="C2473" s="236"/>
      <c r="D2473" s="236"/>
      <c r="E2473" s="237"/>
      <c r="G2473" s="237"/>
      <c r="H2473" s="237"/>
      <c r="I2473" s="237"/>
      <c r="K2473" s="237"/>
      <c r="N2473" s="237"/>
      <c r="O2473" s="237"/>
      <c r="P2473" s="237"/>
      <c r="Q2473" s="237"/>
      <c r="AL2473" s="226"/>
      <c r="AM2473" s="226"/>
    </row>
    <row r="2474" spans="1:39" x14ac:dyDescent="0.25">
      <c r="AA2474" s="237"/>
      <c r="AB2474" s="237"/>
      <c r="AC2474" s="237"/>
      <c r="AD2474" s="237"/>
      <c r="AE2474" s="237"/>
      <c r="AF2474" s="237"/>
      <c r="AG2474" s="237"/>
      <c r="AH2474" s="237"/>
      <c r="AJ2474" s="238"/>
    </row>
    <row r="2475" spans="1:39" ht="12.75" x14ac:dyDescent="0.2">
      <c r="AL2475" s="226"/>
      <c r="AM2475" s="226"/>
    </row>
    <row r="2476" spans="1:39" ht="12.75" x14ac:dyDescent="0.2">
      <c r="A2476" s="236"/>
      <c r="B2476" s="236"/>
      <c r="C2476" s="236"/>
      <c r="D2476" s="236"/>
      <c r="E2476" s="237"/>
      <c r="G2476" s="237"/>
      <c r="H2476" s="237"/>
      <c r="I2476" s="237"/>
      <c r="K2476" s="237"/>
      <c r="N2476" s="237"/>
      <c r="O2476" s="237"/>
      <c r="P2476" s="237"/>
      <c r="Q2476" s="237"/>
      <c r="AL2476" s="226"/>
      <c r="AM2476" s="226"/>
    </row>
    <row r="2477" spans="1:39" x14ac:dyDescent="0.25">
      <c r="AA2477" s="237"/>
      <c r="AB2477" s="237"/>
      <c r="AC2477" s="237"/>
      <c r="AD2477" s="237"/>
      <c r="AE2477" s="237"/>
      <c r="AF2477" s="237"/>
      <c r="AG2477" s="237"/>
      <c r="AH2477" s="237"/>
      <c r="AJ2477" s="238"/>
    </row>
    <row r="2478" spans="1:39" ht="12.75" x14ac:dyDescent="0.2">
      <c r="AL2478" s="226"/>
      <c r="AM2478" s="226"/>
    </row>
    <row r="2479" spans="1:39" ht="12.75" x14ac:dyDescent="0.2">
      <c r="A2479" s="236"/>
      <c r="B2479" s="236"/>
      <c r="C2479" s="236"/>
      <c r="D2479" s="236"/>
      <c r="E2479" s="237"/>
      <c r="G2479" s="237"/>
      <c r="H2479" s="237"/>
      <c r="I2479" s="237"/>
      <c r="K2479" s="237"/>
      <c r="N2479" s="237"/>
      <c r="O2479" s="237"/>
      <c r="P2479" s="237"/>
      <c r="Q2479" s="237"/>
      <c r="AL2479" s="226"/>
      <c r="AM2479" s="226"/>
    </row>
    <row r="2480" spans="1:39" x14ac:dyDescent="0.25">
      <c r="AA2480" s="237"/>
      <c r="AB2480" s="237"/>
      <c r="AC2480" s="237"/>
      <c r="AD2480" s="237"/>
      <c r="AE2480" s="237"/>
      <c r="AF2480" s="237"/>
      <c r="AG2480" s="237"/>
      <c r="AH2480" s="237"/>
      <c r="AJ2480" s="238"/>
    </row>
    <row r="2481" spans="1:39" ht="12.75" x14ac:dyDescent="0.2">
      <c r="AL2481" s="226"/>
      <c r="AM2481" s="226"/>
    </row>
    <row r="2482" spans="1:39" ht="12.75" x14ac:dyDescent="0.2">
      <c r="A2482" s="236"/>
      <c r="B2482" s="236"/>
      <c r="C2482" s="236"/>
      <c r="D2482" s="236"/>
      <c r="E2482" s="237"/>
      <c r="G2482" s="237"/>
      <c r="H2482" s="237"/>
      <c r="I2482" s="237"/>
      <c r="K2482" s="237"/>
      <c r="N2482" s="237"/>
      <c r="O2482" s="237"/>
      <c r="P2482" s="237"/>
      <c r="Q2482" s="237"/>
      <c r="AL2482" s="226"/>
      <c r="AM2482" s="226"/>
    </row>
    <row r="2483" spans="1:39" x14ac:dyDescent="0.25">
      <c r="AA2483" s="237"/>
      <c r="AB2483" s="237"/>
      <c r="AC2483" s="237"/>
      <c r="AD2483" s="237"/>
      <c r="AE2483" s="237"/>
      <c r="AF2483" s="237"/>
      <c r="AG2483" s="237"/>
      <c r="AH2483" s="237"/>
      <c r="AJ2483" s="238"/>
    </row>
    <row r="2484" spans="1:39" ht="12.75" x14ac:dyDescent="0.2">
      <c r="AL2484" s="226"/>
      <c r="AM2484" s="226"/>
    </row>
    <row r="2485" spans="1:39" ht="12.75" x14ac:dyDescent="0.2">
      <c r="A2485" s="236"/>
      <c r="B2485" s="236"/>
      <c r="C2485" s="236"/>
      <c r="D2485" s="236"/>
      <c r="E2485" s="237"/>
      <c r="G2485" s="237"/>
      <c r="H2485" s="237"/>
      <c r="I2485" s="237"/>
      <c r="K2485" s="237"/>
      <c r="N2485" s="237"/>
      <c r="O2485" s="237"/>
      <c r="P2485" s="237"/>
      <c r="Q2485" s="237"/>
      <c r="AL2485" s="226"/>
      <c r="AM2485" s="226"/>
    </row>
    <row r="2486" spans="1:39" x14ac:dyDescent="0.25">
      <c r="AA2486" s="237"/>
      <c r="AB2486" s="237"/>
      <c r="AC2486" s="237"/>
      <c r="AD2486" s="237"/>
      <c r="AE2486" s="237"/>
      <c r="AF2486" s="237"/>
      <c r="AG2486" s="237"/>
      <c r="AH2486" s="237"/>
      <c r="AJ2486" s="238"/>
    </row>
    <row r="2487" spans="1:39" ht="12.75" x14ac:dyDescent="0.2">
      <c r="AL2487" s="226"/>
      <c r="AM2487" s="226"/>
    </row>
    <row r="2488" spans="1:39" ht="12.75" x14ac:dyDescent="0.2">
      <c r="A2488" s="236"/>
      <c r="B2488" s="236"/>
      <c r="C2488" s="236"/>
      <c r="D2488" s="236"/>
      <c r="E2488" s="237"/>
      <c r="G2488" s="237"/>
      <c r="H2488" s="237"/>
      <c r="I2488" s="237"/>
      <c r="K2488" s="237"/>
      <c r="N2488" s="237"/>
      <c r="O2488" s="237"/>
      <c r="P2488" s="237"/>
      <c r="Q2488" s="237"/>
      <c r="AL2488" s="226"/>
      <c r="AM2488" s="226"/>
    </row>
    <row r="2489" spans="1:39" x14ac:dyDescent="0.25">
      <c r="AA2489" s="237"/>
      <c r="AB2489" s="237"/>
      <c r="AC2489" s="237"/>
      <c r="AD2489" s="237"/>
      <c r="AE2489" s="237"/>
      <c r="AF2489" s="237"/>
      <c r="AG2489" s="237"/>
      <c r="AH2489" s="237"/>
      <c r="AJ2489" s="238"/>
    </row>
    <row r="2490" spans="1:39" x14ac:dyDescent="0.25">
      <c r="AA2490" s="237"/>
      <c r="AB2490" s="237"/>
      <c r="AC2490" s="237"/>
      <c r="AD2490" s="237"/>
      <c r="AE2490" s="237"/>
      <c r="AF2490" s="237"/>
      <c r="AG2490" s="237"/>
      <c r="AH2490" s="237"/>
      <c r="AJ2490" s="238"/>
    </row>
    <row r="2491" spans="1:39" x14ac:dyDescent="0.25">
      <c r="AA2491" s="237"/>
      <c r="AB2491" s="237"/>
      <c r="AC2491" s="237"/>
      <c r="AD2491" s="237"/>
      <c r="AE2491" s="237"/>
      <c r="AF2491" s="237"/>
      <c r="AG2491" s="237"/>
      <c r="AH2491" s="237"/>
      <c r="AJ2491" s="238"/>
    </row>
    <row r="2492" spans="1:39" x14ac:dyDescent="0.25">
      <c r="AA2492" s="237"/>
      <c r="AB2492" s="237"/>
      <c r="AC2492" s="237"/>
      <c r="AD2492" s="237"/>
      <c r="AE2492" s="237"/>
      <c r="AF2492" s="237"/>
      <c r="AG2492" s="237"/>
      <c r="AH2492" s="237"/>
      <c r="AJ2492" s="238"/>
    </row>
    <row r="2493" spans="1:39" x14ac:dyDescent="0.25">
      <c r="AA2493" s="237"/>
      <c r="AB2493" s="237"/>
      <c r="AC2493" s="237"/>
      <c r="AD2493" s="237"/>
      <c r="AE2493" s="237"/>
      <c r="AF2493" s="237"/>
      <c r="AG2493" s="237"/>
      <c r="AH2493" s="237"/>
      <c r="AJ2493" s="238"/>
    </row>
    <row r="2494" spans="1:39" ht="12.75" x14ac:dyDescent="0.2">
      <c r="AL2494" s="226"/>
      <c r="AM2494" s="226"/>
    </row>
    <row r="2495" spans="1:39" ht="12.75" x14ac:dyDescent="0.2">
      <c r="A2495" s="236"/>
      <c r="B2495" s="236"/>
      <c r="C2495" s="236"/>
      <c r="D2495" s="236"/>
      <c r="E2495" s="237"/>
      <c r="G2495" s="237"/>
      <c r="H2495" s="237"/>
      <c r="I2495" s="237"/>
      <c r="K2495" s="237"/>
      <c r="N2495" s="237"/>
      <c r="O2495" s="237"/>
      <c r="P2495" s="237"/>
      <c r="Q2495" s="237"/>
      <c r="AL2495" s="226"/>
      <c r="AM2495" s="226"/>
    </row>
    <row r="2496" spans="1:39" x14ac:dyDescent="0.25">
      <c r="AA2496" s="237"/>
      <c r="AB2496" s="237"/>
      <c r="AC2496" s="237"/>
      <c r="AD2496" s="237"/>
      <c r="AE2496" s="237"/>
      <c r="AF2496" s="237"/>
      <c r="AG2496" s="237"/>
      <c r="AH2496" s="237"/>
      <c r="AJ2496" s="238"/>
    </row>
    <row r="2497" spans="1:39" x14ac:dyDescent="0.25">
      <c r="AA2497" s="237"/>
      <c r="AB2497" s="237"/>
      <c r="AC2497" s="237"/>
      <c r="AD2497" s="237"/>
      <c r="AE2497" s="237"/>
      <c r="AF2497" s="237"/>
      <c r="AG2497" s="237"/>
      <c r="AH2497" s="237"/>
      <c r="AJ2497" s="238"/>
    </row>
    <row r="2498" spans="1:39" x14ac:dyDescent="0.25">
      <c r="AA2498" s="237"/>
      <c r="AB2498" s="237"/>
      <c r="AC2498" s="237"/>
      <c r="AD2498" s="237"/>
      <c r="AE2498" s="237"/>
      <c r="AF2498" s="237"/>
      <c r="AG2498" s="237"/>
      <c r="AH2498" s="237"/>
      <c r="AJ2498" s="238"/>
    </row>
    <row r="2499" spans="1:39" x14ac:dyDescent="0.25">
      <c r="AA2499" s="237"/>
      <c r="AB2499" s="237"/>
      <c r="AC2499" s="237"/>
      <c r="AD2499" s="237"/>
      <c r="AE2499" s="237"/>
      <c r="AF2499" s="237"/>
      <c r="AG2499" s="237"/>
      <c r="AH2499" s="237"/>
      <c r="AJ2499" s="238"/>
    </row>
    <row r="2500" spans="1:39" x14ac:dyDescent="0.25">
      <c r="AA2500" s="237"/>
      <c r="AB2500" s="237"/>
      <c r="AC2500" s="237"/>
      <c r="AD2500" s="237"/>
      <c r="AE2500" s="237"/>
      <c r="AF2500" s="237"/>
      <c r="AG2500" s="237"/>
      <c r="AH2500" s="237"/>
      <c r="AJ2500" s="238"/>
    </row>
    <row r="2501" spans="1:39" x14ac:dyDescent="0.25">
      <c r="AA2501" s="237"/>
      <c r="AB2501" s="237"/>
      <c r="AC2501" s="237"/>
      <c r="AD2501" s="237"/>
      <c r="AE2501" s="237"/>
      <c r="AF2501" s="237"/>
      <c r="AG2501" s="237"/>
      <c r="AH2501" s="237"/>
      <c r="AJ2501" s="238"/>
    </row>
    <row r="2502" spans="1:39" x14ac:dyDescent="0.25">
      <c r="AA2502" s="237"/>
      <c r="AB2502" s="237"/>
      <c r="AC2502" s="237"/>
      <c r="AD2502" s="237"/>
      <c r="AE2502" s="237"/>
      <c r="AF2502" s="237"/>
      <c r="AG2502" s="237"/>
      <c r="AH2502" s="237"/>
      <c r="AJ2502" s="238"/>
    </row>
    <row r="2503" spans="1:39" ht="12.75" x14ac:dyDescent="0.2">
      <c r="AL2503" s="226"/>
      <c r="AM2503" s="226"/>
    </row>
    <row r="2504" spans="1:39" ht="12.75" x14ac:dyDescent="0.2">
      <c r="A2504" s="236"/>
      <c r="B2504" s="236"/>
      <c r="C2504" s="236"/>
      <c r="D2504" s="236"/>
      <c r="E2504" s="237"/>
      <c r="G2504" s="237"/>
      <c r="H2504" s="237"/>
      <c r="I2504" s="237"/>
      <c r="K2504" s="237"/>
      <c r="N2504" s="237"/>
      <c r="O2504" s="237"/>
      <c r="P2504" s="237"/>
      <c r="Q2504" s="237"/>
      <c r="AL2504" s="226"/>
      <c r="AM2504" s="226"/>
    </row>
    <row r="2505" spans="1:39" x14ac:dyDescent="0.25">
      <c r="AA2505" s="237"/>
      <c r="AB2505" s="237"/>
      <c r="AC2505" s="237"/>
      <c r="AD2505" s="237"/>
      <c r="AE2505" s="237"/>
      <c r="AF2505" s="237"/>
      <c r="AG2505" s="237"/>
      <c r="AH2505" s="237"/>
      <c r="AJ2505" s="238"/>
    </row>
    <row r="2506" spans="1:39" x14ac:dyDescent="0.25">
      <c r="AA2506" s="237"/>
      <c r="AB2506" s="237"/>
      <c r="AC2506" s="237"/>
      <c r="AD2506" s="237"/>
      <c r="AE2506" s="237"/>
      <c r="AF2506" s="237"/>
      <c r="AG2506" s="237"/>
      <c r="AH2506" s="237"/>
      <c r="AJ2506" s="238"/>
    </row>
    <row r="2507" spans="1:39" x14ac:dyDescent="0.25">
      <c r="AA2507" s="237"/>
      <c r="AB2507" s="237"/>
      <c r="AC2507" s="237"/>
      <c r="AD2507" s="237"/>
      <c r="AE2507" s="237"/>
      <c r="AF2507" s="237"/>
      <c r="AG2507" s="237"/>
      <c r="AH2507" s="237"/>
      <c r="AJ2507" s="238"/>
    </row>
    <row r="2508" spans="1:39" x14ac:dyDescent="0.25">
      <c r="AA2508" s="237"/>
      <c r="AB2508" s="237"/>
      <c r="AC2508" s="237"/>
      <c r="AD2508" s="237"/>
      <c r="AE2508" s="237"/>
      <c r="AF2508" s="237"/>
      <c r="AG2508" s="237"/>
      <c r="AH2508" s="237"/>
      <c r="AJ2508" s="238"/>
    </row>
    <row r="2509" spans="1:39" ht="12.75" x14ac:dyDescent="0.2">
      <c r="AL2509" s="226"/>
      <c r="AM2509" s="226"/>
    </row>
    <row r="2510" spans="1:39" ht="12.75" x14ac:dyDescent="0.2">
      <c r="A2510" s="236"/>
      <c r="B2510" s="236"/>
      <c r="C2510" s="236"/>
      <c r="D2510" s="236"/>
      <c r="E2510" s="237"/>
      <c r="G2510" s="237"/>
      <c r="H2510" s="237"/>
      <c r="I2510" s="237"/>
      <c r="K2510" s="237"/>
      <c r="N2510" s="237"/>
      <c r="O2510" s="237"/>
      <c r="P2510" s="237"/>
      <c r="Q2510" s="237"/>
      <c r="AL2510" s="226"/>
      <c r="AM2510" s="226"/>
    </row>
    <row r="2511" spans="1:39" x14ac:dyDescent="0.25">
      <c r="AA2511" s="237"/>
      <c r="AB2511" s="237"/>
      <c r="AC2511" s="237"/>
      <c r="AD2511" s="237"/>
      <c r="AE2511" s="237"/>
      <c r="AF2511" s="237"/>
      <c r="AG2511" s="237"/>
      <c r="AH2511" s="237"/>
      <c r="AJ2511" s="238"/>
    </row>
    <row r="2512" spans="1:39" x14ac:dyDescent="0.25">
      <c r="AA2512" s="237"/>
      <c r="AB2512" s="237"/>
      <c r="AC2512" s="237"/>
      <c r="AD2512" s="237"/>
      <c r="AE2512" s="237"/>
      <c r="AF2512" s="237"/>
      <c r="AG2512" s="237"/>
      <c r="AH2512" s="237"/>
      <c r="AJ2512" s="238"/>
    </row>
    <row r="2513" spans="1:39" x14ac:dyDescent="0.25">
      <c r="AA2513" s="237"/>
      <c r="AB2513" s="237"/>
      <c r="AC2513" s="237"/>
      <c r="AD2513" s="237"/>
      <c r="AE2513" s="237"/>
      <c r="AF2513" s="237"/>
      <c r="AG2513" s="237"/>
      <c r="AH2513" s="237"/>
      <c r="AJ2513" s="238"/>
    </row>
    <row r="2514" spans="1:39" ht="12.75" x14ac:dyDescent="0.2">
      <c r="AL2514" s="226"/>
      <c r="AM2514" s="226"/>
    </row>
    <row r="2515" spans="1:39" ht="12.75" x14ac:dyDescent="0.2">
      <c r="A2515" s="236"/>
      <c r="B2515" s="236"/>
      <c r="C2515" s="236"/>
      <c r="D2515" s="236"/>
      <c r="E2515" s="237"/>
      <c r="G2515" s="237"/>
      <c r="H2515" s="237"/>
      <c r="I2515" s="237"/>
      <c r="K2515" s="237"/>
      <c r="N2515" s="237"/>
      <c r="O2515" s="237"/>
      <c r="P2515" s="237"/>
      <c r="Q2515" s="237"/>
      <c r="AL2515" s="226"/>
      <c r="AM2515" s="226"/>
    </row>
    <row r="2516" spans="1:39" x14ac:dyDescent="0.25">
      <c r="AA2516" s="237"/>
      <c r="AB2516" s="237"/>
      <c r="AC2516" s="237"/>
      <c r="AD2516" s="237"/>
      <c r="AE2516" s="237"/>
      <c r="AF2516" s="237"/>
      <c r="AG2516" s="237"/>
      <c r="AH2516" s="237"/>
      <c r="AJ2516" s="238"/>
    </row>
    <row r="2517" spans="1:39" x14ac:dyDescent="0.25">
      <c r="AA2517" s="237"/>
      <c r="AB2517" s="237"/>
      <c r="AC2517" s="237"/>
      <c r="AD2517" s="237"/>
      <c r="AE2517" s="237"/>
      <c r="AF2517" s="237"/>
      <c r="AG2517" s="237"/>
      <c r="AH2517" s="237"/>
      <c r="AJ2517" s="238"/>
    </row>
    <row r="2518" spans="1:39" x14ac:dyDescent="0.25">
      <c r="AA2518" s="237"/>
      <c r="AB2518" s="237"/>
      <c r="AC2518" s="237"/>
      <c r="AD2518" s="237"/>
      <c r="AE2518" s="237"/>
      <c r="AF2518" s="237"/>
      <c r="AG2518" s="237"/>
      <c r="AH2518" s="237"/>
      <c r="AJ2518" s="238"/>
    </row>
    <row r="2519" spans="1:39" x14ac:dyDescent="0.25">
      <c r="AA2519" s="237"/>
      <c r="AB2519" s="237"/>
      <c r="AC2519" s="237"/>
      <c r="AD2519" s="237"/>
      <c r="AE2519" s="237"/>
      <c r="AF2519" s="237"/>
      <c r="AG2519" s="237"/>
      <c r="AH2519" s="237"/>
      <c r="AJ2519" s="238"/>
    </row>
    <row r="2520" spans="1:39" x14ac:dyDescent="0.25">
      <c r="AA2520" s="237"/>
      <c r="AB2520" s="237"/>
      <c r="AC2520" s="237"/>
      <c r="AD2520" s="237"/>
      <c r="AE2520" s="237"/>
      <c r="AF2520" s="237"/>
      <c r="AG2520" s="237"/>
      <c r="AH2520" s="237"/>
      <c r="AJ2520" s="238"/>
    </row>
    <row r="2521" spans="1:39" x14ac:dyDescent="0.25">
      <c r="AA2521" s="237"/>
      <c r="AB2521" s="237"/>
      <c r="AC2521" s="237"/>
      <c r="AD2521" s="237"/>
      <c r="AE2521" s="237"/>
      <c r="AF2521" s="237"/>
      <c r="AG2521" s="237"/>
      <c r="AH2521" s="237"/>
      <c r="AJ2521" s="238"/>
    </row>
    <row r="2522" spans="1:39" ht="12.75" x14ac:dyDescent="0.2">
      <c r="AL2522" s="226"/>
      <c r="AM2522" s="226"/>
    </row>
    <row r="2523" spans="1:39" ht="12.75" x14ac:dyDescent="0.2">
      <c r="A2523" s="236"/>
      <c r="B2523" s="236"/>
      <c r="C2523" s="236"/>
      <c r="D2523" s="236"/>
      <c r="E2523" s="237"/>
      <c r="G2523" s="237"/>
      <c r="H2523" s="237"/>
      <c r="I2523" s="237"/>
      <c r="K2523" s="237"/>
      <c r="N2523" s="237"/>
      <c r="O2523" s="237"/>
      <c r="P2523" s="237"/>
      <c r="Q2523" s="237"/>
      <c r="AL2523" s="226"/>
      <c r="AM2523" s="226"/>
    </row>
    <row r="2524" spans="1:39" x14ac:dyDescent="0.25">
      <c r="AA2524" s="237"/>
      <c r="AB2524" s="237"/>
      <c r="AC2524" s="237"/>
      <c r="AD2524" s="237"/>
      <c r="AE2524" s="237"/>
      <c r="AF2524" s="237"/>
      <c r="AG2524" s="237"/>
      <c r="AH2524" s="237"/>
      <c r="AJ2524" s="238"/>
    </row>
    <row r="2525" spans="1:39" x14ac:dyDescent="0.25">
      <c r="AA2525" s="237"/>
      <c r="AB2525" s="237"/>
      <c r="AC2525" s="237"/>
      <c r="AD2525" s="237"/>
      <c r="AE2525" s="237"/>
      <c r="AF2525" s="237"/>
      <c r="AG2525" s="237"/>
      <c r="AH2525" s="237"/>
      <c r="AJ2525" s="238"/>
    </row>
    <row r="2526" spans="1:39" x14ac:dyDescent="0.25">
      <c r="AA2526" s="237"/>
      <c r="AB2526" s="237"/>
      <c r="AC2526" s="237"/>
      <c r="AD2526" s="237"/>
      <c r="AE2526" s="237"/>
      <c r="AF2526" s="237"/>
      <c r="AG2526" s="237"/>
      <c r="AH2526" s="237"/>
      <c r="AJ2526" s="238"/>
    </row>
    <row r="2527" spans="1:39" x14ac:dyDescent="0.25">
      <c r="AA2527" s="237"/>
      <c r="AB2527" s="237"/>
      <c r="AC2527" s="237"/>
      <c r="AD2527" s="237"/>
      <c r="AE2527" s="237"/>
      <c r="AF2527" s="237"/>
      <c r="AG2527" s="237"/>
      <c r="AH2527" s="237"/>
      <c r="AJ2527" s="238"/>
    </row>
    <row r="2528" spans="1:39" x14ac:dyDescent="0.25">
      <c r="AA2528" s="237"/>
      <c r="AB2528" s="237"/>
      <c r="AC2528" s="237"/>
      <c r="AD2528" s="237"/>
      <c r="AE2528" s="237"/>
      <c r="AF2528" s="237"/>
      <c r="AG2528" s="237"/>
      <c r="AH2528" s="237"/>
      <c r="AJ2528" s="238"/>
    </row>
    <row r="2529" spans="1:39" ht="12.75" x14ac:dyDescent="0.2">
      <c r="AL2529" s="226"/>
      <c r="AM2529" s="226"/>
    </row>
    <row r="2530" spans="1:39" ht="12.75" x14ac:dyDescent="0.2">
      <c r="A2530" s="236"/>
      <c r="B2530" s="236"/>
      <c r="C2530" s="236"/>
      <c r="D2530" s="236"/>
      <c r="E2530" s="237"/>
      <c r="G2530" s="237"/>
      <c r="H2530" s="237"/>
      <c r="I2530" s="237"/>
      <c r="K2530" s="237"/>
      <c r="N2530" s="237"/>
      <c r="O2530" s="237"/>
      <c r="P2530" s="237"/>
      <c r="Q2530" s="237"/>
      <c r="AL2530" s="226"/>
      <c r="AM2530" s="226"/>
    </row>
    <row r="2531" spans="1:39" x14ac:dyDescent="0.25">
      <c r="AA2531" s="237"/>
      <c r="AB2531" s="237"/>
      <c r="AC2531" s="237"/>
      <c r="AD2531" s="237"/>
      <c r="AE2531" s="237"/>
      <c r="AF2531" s="237"/>
      <c r="AG2531" s="237"/>
      <c r="AH2531" s="237"/>
      <c r="AJ2531" s="238"/>
    </row>
    <row r="2532" spans="1:39" ht="12.75" x14ac:dyDescent="0.2">
      <c r="AL2532" s="226"/>
      <c r="AM2532" s="226"/>
    </row>
    <row r="2533" spans="1:39" ht="12.75" x14ac:dyDescent="0.2">
      <c r="A2533" s="236"/>
      <c r="B2533" s="236"/>
      <c r="C2533" s="236"/>
      <c r="D2533" s="236"/>
      <c r="E2533" s="237"/>
      <c r="G2533" s="237"/>
      <c r="H2533" s="237"/>
      <c r="I2533" s="237"/>
      <c r="K2533" s="237"/>
      <c r="N2533" s="237"/>
      <c r="O2533" s="237"/>
      <c r="P2533" s="237"/>
      <c r="Q2533" s="237"/>
      <c r="AL2533" s="226"/>
      <c r="AM2533" s="226"/>
    </row>
    <row r="2534" spans="1:39" x14ac:dyDescent="0.25">
      <c r="AA2534" s="237"/>
      <c r="AB2534" s="237"/>
      <c r="AC2534" s="237"/>
      <c r="AD2534" s="237"/>
      <c r="AE2534" s="237"/>
      <c r="AF2534" s="237"/>
      <c r="AG2534" s="237"/>
      <c r="AH2534" s="237"/>
      <c r="AJ2534" s="238"/>
    </row>
    <row r="2535" spans="1:39" x14ac:dyDescent="0.25">
      <c r="AA2535" s="237"/>
      <c r="AB2535" s="237"/>
      <c r="AC2535" s="237"/>
      <c r="AD2535" s="237"/>
      <c r="AE2535" s="237"/>
      <c r="AF2535" s="237"/>
      <c r="AG2535" s="237"/>
      <c r="AH2535" s="237"/>
      <c r="AJ2535" s="238"/>
    </row>
    <row r="2536" spans="1:39" x14ac:dyDescent="0.25">
      <c r="AA2536" s="237"/>
      <c r="AB2536" s="237"/>
      <c r="AC2536" s="237"/>
      <c r="AD2536" s="237"/>
      <c r="AE2536" s="237"/>
      <c r="AF2536" s="237"/>
      <c r="AG2536" s="237"/>
      <c r="AH2536" s="237"/>
      <c r="AJ2536" s="238"/>
    </row>
    <row r="2537" spans="1:39" ht="12.75" x14ac:dyDescent="0.2">
      <c r="AL2537" s="226"/>
      <c r="AM2537" s="226"/>
    </row>
    <row r="2538" spans="1:39" ht="12.75" x14ac:dyDescent="0.2">
      <c r="A2538" s="236"/>
      <c r="B2538" s="236"/>
      <c r="C2538" s="236"/>
      <c r="D2538" s="236"/>
      <c r="E2538" s="237"/>
      <c r="G2538" s="237"/>
      <c r="H2538" s="237"/>
      <c r="I2538" s="237"/>
      <c r="K2538" s="237"/>
      <c r="N2538" s="237"/>
      <c r="O2538" s="237"/>
      <c r="P2538" s="237"/>
      <c r="Q2538" s="237"/>
      <c r="AL2538" s="226"/>
      <c r="AM2538" s="226"/>
    </row>
    <row r="2539" spans="1:39" x14ac:dyDescent="0.25">
      <c r="AA2539" s="237"/>
      <c r="AB2539" s="237"/>
      <c r="AC2539" s="237"/>
      <c r="AD2539" s="237"/>
      <c r="AE2539" s="237"/>
      <c r="AF2539" s="237"/>
      <c r="AG2539" s="237"/>
      <c r="AH2539" s="237"/>
      <c r="AJ2539" s="238"/>
    </row>
    <row r="2540" spans="1:39" ht="12.75" x14ac:dyDescent="0.2">
      <c r="AL2540" s="226"/>
      <c r="AM2540" s="226"/>
    </row>
    <row r="2541" spans="1:39" ht="12.75" x14ac:dyDescent="0.2">
      <c r="A2541" s="236"/>
      <c r="B2541" s="236"/>
      <c r="C2541" s="236"/>
      <c r="D2541" s="236"/>
      <c r="E2541" s="237"/>
      <c r="G2541" s="237"/>
      <c r="H2541" s="237"/>
      <c r="I2541" s="237"/>
      <c r="K2541" s="237"/>
      <c r="N2541" s="237"/>
      <c r="O2541" s="237"/>
      <c r="P2541" s="237"/>
      <c r="Q2541" s="237"/>
      <c r="AL2541" s="226"/>
      <c r="AM2541" s="226"/>
    </row>
    <row r="2542" spans="1:39" x14ac:dyDescent="0.25">
      <c r="AA2542" s="237"/>
      <c r="AB2542" s="237"/>
      <c r="AC2542" s="237"/>
      <c r="AD2542" s="237"/>
      <c r="AE2542" s="237"/>
      <c r="AF2542" s="237"/>
      <c r="AG2542" s="237"/>
      <c r="AH2542" s="237"/>
      <c r="AJ2542" s="238"/>
    </row>
    <row r="2543" spans="1:39" ht="12.75" x14ac:dyDescent="0.2">
      <c r="AL2543" s="226"/>
      <c r="AM2543" s="226"/>
    </row>
    <row r="2544" spans="1:39" ht="12.75" x14ac:dyDescent="0.2">
      <c r="A2544" s="236"/>
      <c r="B2544" s="236"/>
      <c r="C2544" s="236"/>
      <c r="D2544" s="236"/>
      <c r="E2544" s="237"/>
      <c r="G2544" s="237"/>
      <c r="H2544" s="237"/>
      <c r="I2544" s="237"/>
      <c r="K2544" s="237"/>
      <c r="N2544" s="237"/>
      <c r="O2544" s="237"/>
      <c r="P2544" s="237"/>
      <c r="Q2544" s="237"/>
      <c r="AL2544" s="226"/>
      <c r="AM2544" s="226"/>
    </row>
    <row r="2545" spans="1:39" x14ac:dyDescent="0.25">
      <c r="AA2545" s="237"/>
      <c r="AB2545" s="237"/>
      <c r="AC2545" s="237"/>
      <c r="AD2545" s="237"/>
      <c r="AE2545" s="237"/>
      <c r="AF2545" s="237"/>
      <c r="AG2545" s="237"/>
      <c r="AH2545" s="237"/>
      <c r="AJ2545" s="238"/>
    </row>
    <row r="2546" spans="1:39" ht="12.75" x14ac:dyDescent="0.2">
      <c r="AL2546" s="226"/>
      <c r="AM2546" s="226"/>
    </row>
    <row r="2547" spans="1:39" ht="12.75" x14ac:dyDescent="0.2">
      <c r="A2547" s="236"/>
      <c r="B2547" s="236"/>
      <c r="C2547" s="236"/>
      <c r="D2547" s="236"/>
      <c r="E2547" s="237"/>
      <c r="G2547" s="237"/>
      <c r="H2547" s="237"/>
      <c r="I2547" s="237"/>
      <c r="K2547" s="237"/>
      <c r="N2547" s="237"/>
      <c r="O2547" s="237"/>
      <c r="P2547" s="237"/>
      <c r="Q2547" s="237"/>
      <c r="AL2547" s="226"/>
      <c r="AM2547" s="226"/>
    </row>
    <row r="2548" spans="1:39" x14ac:dyDescent="0.25">
      <c r="AA2548" s="237"/>
      <c r="AB2548" s="237"/>
      <c r="AC2548" s="237"/>
      <c r="AD2548" s="237"/>
      <c r="AE2548" s="237"/>
      <c r="AF2548" s="237"/>
      <c r="AG2548" s="237"/>
      <c r="AH2548" s="237"/>
      <c r="AJ2548" s="238"/>
    </row>
    <row r="2549" spans="1:39" x14ac:dyDescent="0.25">
      <c r="AA2549" s="237"/>
      <c r="AB2549" s="237"/>
      <c r="AC2549" s="237"/>
      <c r="AD2549" s="237"/>
      <c r="AE2549" s="237"/>
      <c r="AF2549" s="237"/>
      <c r="AG2549" s="237"/>
      <c r="AH2549" s="237"/>
      <c r="AJ2549" s="238"/>
    </row>
    <row r="2550" spans="1:39" ht="12.75" x14ac:dyDescent="0.2">
      <c r="AL2550" s="226"/>
      <c r="AM2550" s="226"/>
    </row>
    <row r="2551" spans="1:39" ht="12.75" x14ac:dyDescent="0.2">
      <c r="A2551" s="236"/>
      <c r="B2551" s="236"/>
      <c r="C2551" s="236"/>
      <c r="D2551" s="236"/>
      <c r="E2551" s="237"/>
      <c r="G2551" s="237"/>
      <c r="H2551" s="237"/>
      <c r="I2551" s="237"/>
      <c r="K2551" s="237"/>
      <c r="N2551" s="237"/>
      <c r="O2551" s="237"/>
      <c r="P2551" s="237"/>
      <c r="Q2551" s="237"/>
      <c r="AL2551" s="226"/>
      <c r="AM2551" s="226"/>
    </row>
    <row r="2552" spans="1:39" x14ac:dyDescent="0.25">
      <c r="AA2552" s="237"/>
      <c r="AB2552" s="237"/>
      <c r="AC2552" s="237"/>
      <c r="AD2552" s="237"/>
      <c r="AE2552" s="237"/>
      <c r="AF2552" s="237"/>
      <c r="AG2552" s="237"/>
      <c r="AH2552" s="237"/>
      <c r="AJ2552" s="238"/>
    </row>
    <row r="2553" spans="1:39" ht="12.75" x14ac:dyDescent="0.2">
      <c r="AL2553" s="226"/>
      <c r="AM2553" s="226"/>
    </row>
    <row r="2554" spans="1:39" ht="12.75" x14ac:dyDescent="0.2">
      <c r="A2554" s="236"/>
      <c r="B2554" s="236"/>
      <c r="C2554" s="236"/>
      <c r="D2554" s="236"/>
      <c r="E2554" s="237"/>
      <c r="G2554" s="237"/>
      <c r="H2554" s="237"/>
      <c r="I2554" s="237"/>
      <c r="K2554" s="237"/>
      <c r="N2554" s="237"/>
      <c r="O2554" s="237"/>
      <c r="P2554" s="237"/>
      <c r="Q2554" s="237"/>
      <c r="AL2554" s="226"/>
      <c r="AM2554" s="226"/>
    </row>
    <row r="2555" spans="1:39" x14ac:dyDescent="0.25">
      <c r="AA2555" s="237"/>
      <c r="AB2555" s="237"/>
      <c r="AC2555" s="237"/>
      <c r="AD2555" s="237"/>
      <c r="AE2555" s="237"/>
      <c r="AF2555" s="237"/>
      <c r="AG2555" s="237"/>
      <c r="AH2555" s="237"/>
      <c r="AJ2555" s="238"/>
    </row>
    <row r="2556" spans="1:39" ht="12.75" x14ac:dyDescent="0.2">
      <c r="AL2556" s="226"/>
      <c r="AM2556" s="226"/>
    </row>
    <row r="2557" spans="1:39" ht="12.75" x14ac:dyDescent="0.2">
      <c r="A2557" s="236"/>
      <c r="B2557" s="236"/>
      <c r="C2557" s="236"/>
      <c r="D2557" s="236"/>
      <c r="E2557" s="237"/>
      <c r="G2557" s="237"/>
      <c r="H2557" s="237"/>
      <c r="I2557" s="237"/>
      <c r="K2557" s="237"/>
      <c r="N2557" s="237"/>
      <c r="O2557" s="237"/>
      <c r="P2557" s="237"/>
      <c r="Q2557" s="237"/>
      <c r="AL2557" s="226"/>
      <c r="AM2557" s="226"/>
    </row>
    <row r="2558" spans="1:39" x14ac:dyDescent="0.25">
      <c r="AA2558" s="237"/>
      <c r="AB2558" s="237"/>
      <c r="AC2558" s="237"/>
      <c r="AD2558" s="237"/>
      <c r="AE2558" s="237"/>
      <c r="AF2558" s="237"/>
      <c r="AG2558" s="237"/>
      <c r="AH2558" s="237"/>
      <c r="AJ2558" s="238"/>
    </row>
    <row r="2559" spans="1:39" ht="12.75" x14ac:dyDescent="0.2">
      <c r="AL2559" s="226"/>
      <c r="AM2559" s="226"/>
    </row>
    <row r="2560" spans="1:39" ht="12.75" x14ac:dyDescent="0.2">
      <c r="A2560" s="236"/>
      <c r="B2560" s="236"/>
      <c r="C2560" s="236"/>
      <c r="D2560" s="236"/>
      <c r="E2560" s="237"/>
      <c r="G2560" s="237"/>
      <c r="H2560" s="237"/>
      <c r="I2560" s="237"/>
      <c r="K2560" s="237"/>
      <c r="N2560" s="237"/>
      <c r="O2560" s="237"/>
      <c r="P2560" s="237"/>
      <c r="Q2560" s="237"/>
      <c r="AL2560" s="226"/>
      <c r="AM2560" s="226"/>
    </row>
    <row r="2561" spans="1:39" x14ac:dyDescent="0.25">
      <c r="AA2561" s="237"/>
      <c r="AB2561" s="237"/>
      <c r="AC2561" s="237"/>
      <c r="AD2561" s="237"/>
      <c r="AE2561" s="237"/>
      <c r="AF2561" s="237"/>
      <c r="AG2561" s="237"/>
      <c r="AH2561" s="237"/>
      <c r="AJ2561" s="238"/>
    </row>
    <row r="2562" spans="1:39" x14ac:dyDescent="0.25">
      <c r="AA2562" s="237"/>
      <c r="AB2562" s="237"/>
      <c r="AC2562" s="237"/>
      <c r="AD2562" s="237"/>
      <c r="AE2562" s="237"/>
      <c r="AF2562" s="237"/>
      <c r="AG2562" s="237"/>
      <c r="AH2562" s="237"/>
      <c r="AJ2562" s="238"/>
    </row>
    <row r="2563" spans="1:39" x14ac:dyDescent="0.25">
      <c r="AA2563" s="237"/>
      <c r="AB2563" s="237"/>
      <c r="AC2563" s="237"/>
      <c r="AD2563" s="237"/>
      <c r="AE2563" s="237"/>
      <c r="AF2563" s="237"/>
      <c r="AG2563" s="237"/>
      <c r="AH2563" s="237"/>
      <c r="AJ2563" s="238"/>
    </row>
    <row r="2564" spans="1:39" x14ac:dyDescent="0.25">
      <c r="AA2564" s="237"/>
      <c r="AB2564" s="237"/>
      <c r="AC2564" s="237"/>
      <c r="AD2564" s="237"/>
      <c r="AE2564" s="237"/>
      <c r="AF2564" s="237"/>
      <c r="AG2564" s="237"/>
      <c r="AH2564" s="237"/>
      <c r="AJ2564" s="238"/>
    </row>
    <row r="2565" spans="1:39" x14ac:dyDescent="0.25">
      <c r="AA2565" s="237"/>
      <c r="AB2565" s="237"/>
      <c r="AC2565" s="237"/>
      <c r="AD2565" s="237"/>
      <c r="AE2565" s="237"/>
      <c r="AF2565" s="237"/>
      <c r="AG2565" s="237"/>
      <c r="AH2565" s="237"/>
      <c r="AJ2565" s="238"/>
    </row>
    <row r="2566" spans="1:39" x14ac:dyDescent="0.25">
      <c r="AA2566" s="237"/>
      <c r="AB2566" s="237"/>
      <c r="AC2566" s="237"/>
      <c r="AD2566" s="237"/>
      <c r="AE2566" s="237"/>
      <c r="AF2566" s="237"/>
      <c r="AG2566" s="237"/>
      <c r="AH2566" s="237"/>
      <c r="AJ2566" s="238"/>
    </row>
    <row r="2567" spans="1:39" x14ac:dyDescent="0.25">
      <c r="AA2567" s="237"/>
      <c r="AB2567" s="237"/>
      <c r="AC2567" s="237"/>
      <c r="AD2567" s="237"/>
      <c r="AE2567" s="237"/>
      <c r="AF2567" s="237"/>
      <c r="AG2567" s="237"/>
      <c r="AH2567" s="237"/>
      <c r="AJ2567" s="238"/>
    </row>
    <row r="2568" spans="1:39" ht="12.75" x14ac:dyDescent="0.2">
      <c r="AL2568" s="226"/>
      <c r="AM2568" s="226"/>
    </row>
    <row r="2569" spans="1:39" ht="12.75" x14ac:dyDescent="0.2">
      <c r="A2569" s="236"/>
      <c r="B2569" s="236"/>
      <c r="C2569" s="236"/>
      <c r="D2569" s="236"/>
      <c r="E2569" s="237"/>
      <c r="G2569" s="237"/>
      <c r="H2569" s="237"/>
      <c r="I2569" s="237"/>
      <c r="K2569" s="237"/>
      <c r="N2569" s="237"/>
      <c r="O2569" s="237"/>
      <c r="P2569" s="237"/>
      <c r="Q2569" s="237"/>
      <c r="AL2569" s="226"/>
      <c r="AM2569" s="226"/>
    </row>
    <row r="2570" spans="1:39" x14ac:dyDescent="0.25">
      <c r="AA2570" s="237"/>
      <c r="AB2570" s="237"/>
      <c r="AC2570" s="237"/>
      <c r="AD2570" s="237"/>
      <c r="AE2570" s="237"/>
      <c r="AF2570" s="237"/>
      <c r="AG2570" s="237"/>
      <c r="AH2570" s="237"/>
      <c r="AJ2570" s="238"/>
    </row>
    <row r="2571" spans="1:39" x14ac:dyDescent="0.25">
      <c r="AA2571" s="237"/>
      <c r="AB2571" s="237"/>
      <c r="AC2571" s="237"/>
      <c r="AD2571" s="237"/>
      <c r="AE2571" s="237"/>
      <c r="AF2571" s="237"/>
      <c r="AG2571" s="237"/>
      <c r="AH2571" s="237"/>
      <c r="AJ2571" s="238"/>
    </row>
    <row r="2572" spans="1:39" x14ac:dyDescent="0.25">
      <c r="AA2572" s="237"/>
      <c r="AB2572" s="237"/>
      <c r="AC2572" s="237"/>
      <c r="AD2572" s="237"/>
      <c r="AE2572" s="237"/>
      <c r="AF2572" s="237"/>
      <c r="AG2572" s="237"/>
      <c r="AH2572" s="237"/>
      <c r="AJ2572" s="238"/>
    </row>
    <row r="2573" spans="1:39" x14ac:dyDescent="0.25">
      <c r="AA2573" s="237"/>
      <c r="AB2573" s="237"/>
      <c r="AC2573" s="237"/>
      <c r="AD2573" s="237"/>
      <c r="AE2573" s="237"/>
      <c r="AF2573" s="237"/>
      <c r="AG2573" s="237"/>
      <c r="AH2573" s="237"/>
      <c r="AJ2573" s="238"/>
    </row>
    <row r="2574" spans="1:39" x14ac:dyDescent="0.25">
      <c r="AA2574" s="237"/>
      <c r="AB2574" s="237"/>
      <c r="AC2574" s="237"/>
      <c r="AD2574" s="237"/>
      <c r="AE2574" s="237"/>
      <c r="AF2574" s="237"/>
      <c r="AG2574" s="237"/>
      <c r="AH2574" s="237"/>
      <c r="AJ2574" s="238"/>
    </row>
    <row r="2575" spans="1:39" x14ac:dyDescent="0.25">
      <c r="AA2575" s="237"/>
      <c r="AB2575" s="237"/>
      <c r="AC2575" s="237"/>
      <c r="AD2575" s="237"/>
      <c r="AE2575" s="237"/>
      <c r="AF2575" s="237"/>
      <c r="AG2575" s="237"/>
      <c r="AH2575" s="237"/>
      <c r="AJ2575" s="238"/>
    </row>
    <row r="2576" spans="1:39" ht="12.75" x14ac:dyDescent="0.2">
      <c r="AL2576" s="226"/>
      <c r="AM2576" s="226"/>
    </row>
    <row r="2577" spans="1:39" ht="12.75" x14ac:dyDescent="0.2">
      <c r="A2577" s="236"/>
      <c r="B2577" s="236"/>
      <c r="C2577" s="236"/>
      <c r="D2577" s="236"/>
      <c r="E2577" s="237"/>
      <c r="G2577" s="237"/>
      <c r="H2577" s="237"/>
      <c r="I2577" s="237"/>
      <c r="K2577" s="237"/>
      <c r="N2577" s="237"/>
      <c r="O2577" s="237"/>
      <c r="P2577" s="237"/>
      <c r="Q2577" s="237"/>
      <c r="AL2577" s="226"/>
      <c r="AM2577" s="226"/>
    </row>
    <row r="2578" spans="1:39" x14ac:dyDescent="0.25">
      <c r="AA2578" s="237"/>
      <c r="AB2578" s="237"/>
      <c r="AC2578" s="237"/>
      <c r="AD2578" s="237"/>
      <c r="AE2578" s="237"/>
      <c r="AF2578" s="237"/>
      <c r="AG2578" s="237"/>
      <c r="AH2578" s="237"/>
      <c r="AJ2578" s="238"/>
    </row>
    <row r="2579" spans="1:39" x14ac:dyDescent="0.25">
      <c r="AA2579" s="237"/>
      <c r="AB2579" s="237"/>
      <c r="AC2579" s="237"/>
      <c r="AD2579" s="237"/>
      <c r="AE2579" s="237"/>
      <c r="AF2579" s="237"/>
      <c r="AG2579" s="237"/>
      <c r="AH2579" s="237"/>
      <c r="AJ2579" s="238"/>
    </row>
    <row r="2580" spans="1:39" x14ac:dyDescent="0.25">
      <c r="AA2580" s="237"/>
      <c r="AB2580" s="237"/>
      <c r="AC2580" s="237"/>
      <c r="AD2580" s="237"/>
      <c r="AE2580" s="237"/>
      <c r="AF2580" s="237"/>
      <c r="AG2580" s="237"/>
      <c r="AH2580" s="237"/>
      <c r="AJ2580" s="238"/>
    </row>
    <row r="2581" spans="1:39" ht="12.75" x14ac:dyDescent="0.2">
      <c r="AL2581" s="226"/>
      <c r="AM2581" s="226"/>
    </row>
    <row r="2582" spans="1:39" ht="12.75" x14ac:dyDescent="0.2">
      <c r="A2582" s="236"/>
      <c r="B2582" s="236"/>
      <c r="C2582" s="236"/>
      <c r="D2582" s="236"/>
      <c r="E2582" s="237"/>
      <c r="G2582" s="237"/>
      <c r="H2582" s="237"/>
      <c r="I2582" s="237"/>
      <c r="K2582" s="237"/>
      <c r="N2582" s="237"/>
      <c r="O2582" s="237"/>
      <c r="P2582" s="237"/>
      <c r="Q2582" s="237"/>
      <c r="AL2582" s="226"/>
      <c r="AM2582" s="226"/>
    </row>
    <row r="2583" spans="1:39" x14ac:dyDescent="0.25">
      <c r="AA2583" s="237"/>
      <c r="AB2583" s="237"/>
      <c r="AC2583" s="237"/>
      <c r="AD2583" s="237"/>
      <c r="AE2583" s="237"/>
      <c r="AF2583" s="237"/>
      <c r="AG2583" s="237"/>
      <c r="AH2583" s="237"/>
      <c r="AJ2583" s="238"/>
    </row>
    <row r="2584" spans="1:39" x14ac:dyDescent="0.25">
      <c r="AA2584" s="237"/>
      <c r="AB2584" s="237"/>
      <c r="AC2584" s="237"/>
      <c r="AD2584" s="237"/>
      <c r="AE2584" s="237"/>
      <c r="AF2584" s="237"/>
      <c r="AG2584" s="237"/>
      <c r="AH2584" s="237"/>
      <c r="AJ2584" s="238"/>
    </row>
    <row r="2585" spans="1:39" x14ac:dyDescent="0.25">
      <c r="AA2585" s="237"/>
      <c r="AB2585" s="237"/>
      <c r="AC2585" s="237"/>
      <c r="AD2585" s="237"/>
      <c r="AE2585" s="237"/>
      <c r="AF2585" s="237"/>
      <c r="AG2585" s="237"/>
      <c r="AH2585" s="237"/>
      <c r="AJ2585" s="238"/>
    </row>
    <row r="2586" spans="1:39" x14ac:dyDescent="0.25">
      <c r="AA2586" s="237"/>
      <c r="AB2586" s="237"/>
      <c r="AC2586" s="237"/>
      <c r="AD2586" s="237"/>
      <c r="AE2586" s="237"/>
      <c r="AF2586" s="237"/>
      <c r="AG2586" s="237"/>
      <c r="AH2586" s="237"/>
      <c r="AJ2586" s="238"/>
    </row>
    <row r="2587" spans="1:39" ht="12.75" x14ac:dyDescent="0.2">
      <c r="AL2587" s="226"/>
      <c r="AM2587" s="226"/>
    </row>
    <row r="2588" spans="1:39" ht="12.75" x14ac:dyDescent="0.2">
      <c r="A2588" s="236"/>
      <c r="B2588" s="236"/>
      <c r="C2588" s="236"/>
      <c r="D2588" s="236"/>
      <c r="E2588" s="237"/>
      <c r="G2588" s="237"/>
      <c r="H2588" s="237"/>
      <c r="I2588" s="237"/>
      <c r="K2588" s="237"/>
      <c r="N2588" s="237"/>
      <c r="O2588" s="237"/>
      <c r="P2588" s="237"/>
      <c r="Q2588" s="237"/>
      <c r="AL2588" s="226"/>
      <c r="AM2588" s="226"/>
    </row>
    <row r="2589" spans="1:39" x14ac:dyDescent="0.25">
      <c r="AA2589" s="237"/>
      <c r="AB2589" s="237"/>
      <c r="AC2589" s="237"/>
      <c r="AD2589" s="237"/>
      <c r="AE2589" s="237"/>
      <c r="AF2589" s="237"/>
      <c r="AG2589" s="237"/>
      <c r="AH2589" s="237"/>
      <c r="AJ2589" s="238"/>
    </row>
    <row r="2590" spans="1:39" ht="12.75" x14ac:dyDescent="0.2">
      <c r="AL2590" s="226"/>
      <c r="AM2590" s="226"/>
    </row>
    <row r="2591" spans="1:39" ht="12.75" x14ac:dyDescent="0.2">
      <c r="A2591" s="236"/>
      <c r="B2591" s="236"/>
      <c r="C2591" s="236"/>
      <c r="D2591" s="236"/>
      <c r="E2591" s="237"/>
      <c r="G2591" s="237"/>
      <c r="H2591" s="237"/>
      <c r="I2591" s="237"/>
      <c r="K2591" s="237"/>
      <c r="N2591" s="237"/>
      <c r="O2591" s="237"/>
      <c r="P2591" s="237"/>
      <c r="Q2591" s="237"/>
      <c r="AL2591" s="226"/>
      <c r="AM2591" s="226"/>
    </row>
    <row r="2592" spans="1:39" x14ac:dyDescent="0.25">
      <c r="AA2592" s="237"/>
      <c r="AB2592" s="237"/>
      <c r="AC2592" s="237"/>
      <c r="AD2592" s="237"/>
      <c r="AE2592" s="237"/>
      <c r="AF2592" s="237"/>
      <c r="AG2592" s="237"/>
      <c r="AH2592" s="237"/>
      <c r="AJ2592" s="238"/>
    </row>
    <row r="2593" spans="1:39" x14ac:dyDescent="0.25">
      <c r="AA2593" s="237"/>
      <c r="AB2593" s="237"/>
      <c r="AC2593" s="237"/>
      <c r="AD2593" s="237"/>
      <c r="AE2593" s="237"/>
      <c r="AF2593" s="237"/>
      <c r="AG2593" s="237"/>
      <c r="AH2593" s="237"/>
      <c r="AJ2593" s="238"/>
    </row>
    <row r="2594" spans="1:39" x14ac:dyDescent="0.25">
      <c r="AA2594" s="237"/>
      <c r="AB2594" s="237"/>
      <c r="AC2594" s="237"/>
      <c r="AD2594" s="237"/>
      <c r="AE2594" s="237"/>
      <c r="AF2594" s="237"/>
      <c r="AG2594" s="237"/>
      <c r="AH2594" s="237"/>
      <c r="AJ2594" s="238"/>
    </row>
    <row r="2595" spans="1:39" x14ac:dyDescent="0.25">
      <c r="AA2595" s="237"/>
      <c r="AB2595" s="237"/>
      <c r="AC2595" s="237"/>
      <c r="AD2595" s="237"/>
      <c r="AE2595" s="237"/>
      <c r="AF2595" s="237"/>
      <c r="AG2595" s="237"/>
      <c r="AH2595" s="237"/>
      <c r="AJ2595" s="238"/>
    </row>
    <row r="2596" spans="1:39" x14ac:dyDescent="0.25">
      <c r="AA2596" s="237"/>
      <c r="AB2596" s="237"/>
      <c r="AC2596" s="237"/>
      <c r="AD2596" s="237"/>
      <c r="AE2596" s="237"/>
      <c r="AF2596" s="237"/>
      <c r="AG2596" s="237"/>
      <c r="AH2596" s="237"/>
      <c r="AJ2596" s="238"/>
    </row>
    <row r="2597" spans="1:39" x14ac:dyDescent="0.25">
      <c r="AA2597" s="237"/>
      <c r="AB2597" s="237"/>
      <c r="AC2597" s="237"/>
      <c r="AD2597" s="237"/>
      <c r="AE2597" s="237"/>
      <c r="AF2597" s="237"/>
      <c r="AG2597" s="237"/>
      <c r="AH2597" s="237"/>
      <c r="AJ2597" s="238"/>
    </row>
    <row r="2598" spans="1:39" x14ac:dyDescent="0.25">
      <c r="AA2598" s="237"/>
      <c r="AB2598" s="237"/>
      <c r="AC2598" s="237"/>
      <c r="AD2598" s="237"/>
      <c r="AE2598" s="237"/>
      <c r="AF2598" s="237"/>
      <c r="AG2598" s="237"/>
      <c r="AH2598" s="237"/>
      <c r="AJ2598" s="238"/>
    </row>
    <row r="2599" spans="1:39" ht="12.75" x14ac:dyDescent="0.2">
      <c r="AL2599" s="226"/>
      <c r="AM2599" s="226"/>
    </row>
    <row r="2600" spans="1:39" ht="12.75" x14ac:dyDescent="0.2">
      <c r="A2600" s="236"/>
      <c r="B2600" s="236"/>
      <c r="C2600" s="236"/>
      <c r="D2600" s="236"/>
      <c r="E2600" s="237"/>
      <c r="G2600" s="237"/>
      <c r="H2600" s="237"/>
      <c r="I2600" s="237"/>
      <c r="K2600" s="237"/>
      <c r="N2600" s="237"/>
      <c r="O2600" s="237"/>
      <c r="P2600" s="237"/>
      <c r="Q2600" s="237"/>
      <c r="AL2600" s="226"/>
      <c r="AM2600" s="226"/>
    </row>
    <row r="2601" spans="1:39" x14ac:dyDescent="0.25">
      <c r="AA2601" s="237"/>
      <c r="AB2601" s="237"/>
      <c r="AC2601" s="237"/>
      <c r="AD2601" s="237"/>
      <c r="AE2601" s="237"/>
      <c r="AF2601" s="237"/>
      <c r="AG2601" s="237"/>
      <c r="AH2601" s="237"/>
      <c r="AJ2601" s="238"/>
    </row>
    <row r="2602" spans="1:39" x14ac:dyDescent="0.25">
      <c r="AA2602" s="237"/>
      <c r="AB2602" s="237"/>
      <c r="AC2602" s="237"/>
      <c r="AD2602" s="237"/>
      <c r="AE2602" s="237"/>
      <c r="AF2602" s="237"/>
      <c r="AG2602" s="237"/>
      <c r="AH2602" s="237"/>
      <c r="AJ2602" s="238"/>
    </row>
    <row r="2603" spans="1:39" x14ac:dyDescent="0.25">
      <c r="AA2603" s="237"/>
      <c r="AB2603" s="237"/>
      <c r="AC2603" s="237"/>
      <c r="AD2603" s="237"/>
      <c r="AE2603" s="237"/>
      <c r="AF2603" s="237"/>
      <c r="AG2603" s="237"/>
      <c r="AH2603" s="237"/>
      <c r="AJ2603" s="238"/>
    </row>
    <row r="2604" spans="1:39" x14ac:dyDescent="0.25">
      <c r="AA2604" s="237"/>
      <c r="AB2604" s="237"/>
      <c r="AC2604" s="237"/>
      <c r="AD2604" s="237"/>
      <c r="AE2604" s="237"/>
      <c r="AF2604" s="237"/>
      <c r="AG2604" s="237"/>
      <c r="AH2604" s="237"/>
      <c r="AJ2604" s="238"/>
    </row>
    <row r="2605" spans="1:39" x14ac:dyDescent="0.25">
      <c r="AA2605" s="237"/>
      <c r="AB2605" s="237"/>
      <c r="AC2605" s="237"/>
      <c r="AD2605" s="237"/>
      <c r="AE2605" s="237"/>
      <c r="AF2605" s="237"/>
      <c r="AG2605" s="237"/>
      <c r="AH2605" s="237"/>
      <c r="AJ2605" s="238"/>
    </row>
    <row r="2606" spans="1:39" x14ac:dyDescent="0.25">
      <c r="AA2606" s="237"/>
      <c r="AB2606" s="237"/>
      <c r="AC2606" s="237"/>
      <c r="AD2606" s="237"/>
      <c r="AE2606" s="237"/>
      <c r="AF2606" s="237"/>
      <c r="AG2606" s="237"/>
      <c r="AH2606" s="237"/>
      <c r="AJ2606" s="238"/>
    </row>
    <row r="2607" spans="1:39" x14ac:dyDescent="0.25">
      <c r="AA2607" s="237"/>
      <c r="AB2607" s="237"/>
      <c r="AC2607" s="237"/>
      <c r="AD2607" s="237"/>
      <c r="AE2607" s="237"/>
      <c r="AF2607" s="237"/>
      <c r="AG2607" s="237"/>
      <c r="AH2607" s="237"/>
      <c r="AJ2607" s="238"/>
    </row>
    <row r="2608" spans="1:39" x14ac:dyDescent="0.25">
      <c r="AA2608" s="237"/>
      <c r="AB2608" s="237"/>
      <c r="AC2608" s="237"/>
      <c r="AD2608" s="237"/>
      <c r="AE2608" s="237"/>
      <c r="AF2608" s="237"/>
      <c r="AG2608" s="237"/>
      <c r="AH2608" s="237"/>
      <c r="AJ2608" s="238"/>
    </row>
    <row r="2609" spans="1:39" x14ac:dyDescent="0.25">
      <c r="AA2609" s="237"/>
      <c r="AB2609" s="237"/>
      <c r="AC2609" s="237"/>
      <c r="AD2609" s="237"/>
      <c r="AE2609" s="237"/>
      <c r="AF2609" s="237"/>
      <c r="AG2609" s="237"/>
      <c r="AH2609" s="237"/>
      <c r="AJ2609" s="238"/>
    </row>
    <row r="2610" spans="1:39" ht="12.75" x14ac:dyDescent="0.2">
      <c r="AL2610" s="226"/>
      <c r="AM2610" s="226"/>
    </row>
    <row r="2611" spans="1:39" ht="12.75" x14ac:dyDescent="0.2">
      <c r="A2611" s="236"/>
      <c r="B2611" s="236"/>
      <c r="C2611" s="236"/>
      <c r="D2611" s="236"/>
      <c r="E2611" s="237"/>
      <c r="G2611" s="237"/>
      <c r="H2611" s="237"/>
      <c r="I2611" s="237"/>
      <c r="K2611" s="237"/>
      <c r="N2611" s="237"/>
      <c r="O2611" s="237"/>
      <c r="P2611" s="237"/>
      <c r="Q2611" s="237"/>
      <c r="AL2611" s="226"/>
      <c r="AM2611" s="226"/>
    </row>
    <row r="2612" spans="1:39" x14ac:dyDescent="0.25">
      <c r="AA2612" s="237"/>
      <c r="AB2612" s="237"/>
      <c r="AC2612" s="237"/>
      <c r="AD2612" s="237"/>
      <c r="AE2612" s="237"/>
      <c r="AF2612" s="237"/>
      <c r="AG2612" s="237"/>
      <c r="AH2612" s="237"/>
      <c r="AJ2612" s="238"/>
    </row>
    <row r="2613" spans="1:39" x14ac:dyDescent="0.25">
      <c r="AA2613" s="237"/>
      <c r="AB2613" s="237"/>
      <c r="AC2613" s="237"/>
      <c r="AD2613" s="237"/>
      <c r="AE2613" s="237"/>
      <c r="AF2613" s="237"/>
      <c r="AG2613" s="237"/>
      <c r="AH2613" s="237"/>
      <c r="AJ2613" s="238"/>
    </row>
    <row r="2614" spans="1:39" x14ac:dyDescent="0.25">
      <c r="AA2614" s="237"/>
      <c r="AB2614" s="237"/>
      <c r="AC2614" s="237"/>
      <c r="AD2614" s="237"/>
      <c r="AE2614" s="237"/>
      <c r="AF2614" s="237"/>
      <c r="AG2614" s="237"/>
      <c r="AH2614" s="237"/>
      <c r="AJ2614" s="238"/>
    </row>
    <row r="2615" spans="1:39" ht="12.75" x14ac:dyDescent="0.2">
      <c r="AL2615" s="226"/>
      <c r="AM2615" s="226"/>
    </row>
    <row r="2616" spans="1:39" ht="12.75" x14ac:dyDescent="0.2">
      <c r="A2616" s="236"/>
      <c r="B2616" s="236"/>
      <c r="C2616" s="236"/>
      <c r="D2616" s="236"/>
      <c r="E2616" s="237"/>
      <c r="G2616" s="237"/>
      <c r="H2616" s="237"/>
      <c r="I2616" s="237"/>
      <c r="K2616" s="237"/>
      <c r="N2616" s="237"/>
      <c r="O2616" s="237"/>
      <c r="P2616" s="237"/>
      <c r="Q2616" s="237"/>
      <c r="AL2616" s="226"/>
      <c r="AM2616" s="226"/>
    </row>
    <row r="2617" spans="1:39" x14ac:dyDescent="0.25">
      <c r="AA2617" s="237"/>
      <c r="AB2617" s="237"/>
      <c r="AC2617" s="237"/>
      <c r="AD2617" s="237"/>
      <c r="AE2617" s="237"/>
      <c r="AF2617" s="237"/>
      <c r="AG2617" s="237"/>
      <c r="AH2617" s="237"/>
      <c r="AJ2617" s="238"/>
    </row>
    <row r="2618" spans="1:39" x14ac:dyDescent="0.25">
      <c r="AA2618" s="237"/>
      <c r="AB2618" s="237"/>
      <c r="AC2618" s="237"/>
      <c r="AD2618" s="237"/>
      <c r="AE2618" s="237"/>
      <c r="AF2618" s="237"/>
      <c r="AG2618" s="237"/>
      <c r="AH2618" s="237"/>
      <c r="AJ2618" s="238"/>
    </row>
    <row r="2619" spans="1:39" x14ac:dyDescent="0.25">
      <c r="AA2619" s="237"/>
      <c r="AB2619" s="237"/>
      <c r="AC2619" s="237"/>
      <c r="AD2619" s="237"/>
      <c r="AE2619" s="237"/>
      <c r="AF2619" s="237"/>
      <c r="AG2619" s="237"/>
      <c r="AH2619" s="237"/>
      <c r="AJ2619" s="238"/>
    </row>
    <row r="2620" spans="1:39" x14ac:dyDescent="0.25">
      <c r="AA2620" s="237"/>
      <c r="AB2620" s="237"/>
      <c r="AC2620" s="237"/>
      <c r="AD2620" s="237"/>
      <c r="AE2620" s="237"/>
      <c r="AF2620" s="237"/>
      <c r="AG2620" s="237"/>
      <c r="AH2620" s="237"/>
      <c r="AJ2620" s="238"/>
    </row>
    <row r="2621" spans="1:39" x14ac:dyDescent="0.25">
      <c r="AA2621" s="237"/>
      <c r="AB2621" s="237"/>
      <c r="AC2621" s="237"/>
      <c r="AD2621" s="237"/>
      <c r="AE2621" s="237"/>
      <c r="AF2621" s="237"/>
      <c r="AG2621" s="237"/>
      <c r="AH2621" s="237"/>
      <c r="AJ2621" s="238"/>
    </row>
    <row r="2622" spans="1:39" x14ac:dyDescent="0.25">
      <c r="AA2622" s="237"/>
      <c r="AB2622" s="237"/>
      <c r="AC2622" s="237"/>
      <c r="AD2622" s="237"/>
      <c r="AE2622" s="237"/>
      <c r="AF2622" s="237"/>
      <c r="AG2622" s="237"/>
      <c r="AH2622" s="237"/>
      <c r="AJ2622" s="238"/>
    </row>
    <row r="2623" spans="1:39" x14ac:dyDescent="0.25">
      <c r="AA2623" s="237"/>
      <c r="AB2623" s="237"/>
      <c r="AC2623" s="237"/>
      <c r="AD2623" s="237"/>
      <c r="AE2623" s="237"/>
      <c r="AF2623" s="237"/>
      <c r="AG2623" s="237"/>
      <c r="AH2623" s="237"/>
      <c r="AJ2623" s="238"/>
    </row>
    <row r="2624" spans="1:39" x14ac:dyDescent="0.25">
      <c r="AA2624" s="237"/>
      <c r="AB2624" s="237"/>
      <c r="AC2624" s="237"/>
      <c r="AD2624" s="237"/>
      <c r="AE2624" s="237"/>
      <c r="AF2624" s="237"/>
      <c r="AG2624" s="237"/>
      <c r="AH2624" s="237"/>
      <c r="AJ2624" s="238"/>
    </row>
    <row r="2625" spans="27:39" x14ac:dyDescent="0.25">
      <c r="AA2625" s="237"/>
      <c r="AB2625" s="237"/>
      <c r="AC2625" s="237"/>
      <c r="AD2625" s="237"/>
      <c r="AE2625" s="237"/>
      <c r="AF2625" s="237"/>
      <c r="AG2625" s="237"/>
      <c r="AH2625" s="237"/>
      <c r="AJ2625" s="238"/>
    </row>
    <row r="2626" spans="27:39" x14ac:dyDescent="0.25">
      <c r="AA2626" s="237"/>
      <c r="AB2626" s="237"/>
      <c r="AC2626" s="237"/>
      <c r="AD2626" s="237"/>
      <c r="AE2626" s="237"/>
      <c r="AF2626" s="237"/>
      <c r="AG2626" s="237"/>
      <c r="AH2626" s="237"/>
      <c r="AJ2626" s="238"/>
    </row>
    <row r="2627" spans="27:39" x14ac:dyDescent="0.25">
      <c r="AA2627" s="237"/>
      <c r="AB2627" s="237"/>
      <c r="AC2627" s="237"/>
      <c r="AD2627" s="237"/>
      <c r="AE2627" s="237"/>
      <c r="AF2627" s="237"/>
      <c r="AG2627" s="237"/>
      <c r="AH2627" s="237"/>
      <c r="AJ2627" s="238"/>
    </row>
    <row r="2628" spans="27:39" x14ac:dyDescent="0.25">
      <c r="AA2628" s="237"/>
      <c r="AB2628" s="237"/>
      <c r="AC2628" s="237"/>
      <c r="AD2628" s="237"/>
      <c r="AE2628" s="237"/>
      <c r="AF2628" s="237"/>
      <c r="AG2628" s="237"/>
      <c r="AH2628" s="237"/>
      <c r="AJ2628" s="238"/>
    </row>
    <row r="2629" spans="27:39" x14ac:dyDescent="0.25">
      <c r="AA2629" s="237"/>
      <c r="AB2629" s="237"/>
      <c r="AC2629" s="237"/>
      <c r="AD2629" s="237"/>
      <c r="AE2629" s="237"/>
      <c r="AF2629" s="237"/>
      <c r="AG2629" s="237"/>
      <c r="AH2629" s="237"/>
      <c r="AJ2629" s="238"/>
    </row>
    <row r="2630" spans="27:39" x14ac:dyDescent="0.25">
      <c r="AA2630" s="237"/>
      <c r="AB2630" s="237"/>
      <c r="AC2630" s="237"/>
      <c r="AD2630" s="237"/>
      <c r="AE2630" s="237"/>
      <c r="AF2630" s="237"/>
      <c r="AG2630" s="237"/>
      <c r="AH2630" s="237"/>
      <c r="AJ2630" s="238"/>
    </row>
    <row r="2631" spans="27:39" x14ac:dyDescent="0.25">
      <c r="AA2631" s="237"/>
      <c r="AB2631" s="237"/>
      <c r="AC2631" s="237"/>
      <c r="AD2631" s="237"/>
      <c r="AE2631" s="237"/>
      <c r="AF2631" s="237"/>
      <c r="AG2631" s="237"/>
      <c r="AH2631" s="237"/>
      <c r="AJ2631" s="238"/>
    </row>
    <row r="2632" spans="27:39" x14ac:dyDescent="0.25">
      <c r="AA2632" s="237"/>
      <c r="AB2632" s="237"/>
      <c r="AC2632" s="237"/>
      <c r="AD2632" s="237"/>
      <c r="AE2632" s="237"/>
      <c r="AF2632" s="237"/>
      <c r="AG2632" s="237"/>
      <c r="AH2632" s="237"/>
      <c r="AJ2632" s="238"/>
    </row>
    <row r="2633" spans="27:39" x14ac:dyDescent="0.25">
      <c r="AA2633" s="237"/>
      <c r="AB2633" s="237"/>
      <c r="AC2633" s="237"/>
      <c r="AD2633" s="237"/>
      <c r="AE2633" s="237"/>
      <c r="AF2633" s="237"/>
      <c r="AG2633" s="237"/>
      <c r="AH2633" s="237"/>
      <c r="AJ2633" s="238"/>
    </row>
    <row r="2634" spans="27:39" x14ac:dyDescent="0.25">
      <c r="AA2634" s="237"/>
      <c r="AB2634" s="237"/>
      <c r="AC2634" s="237"/>
      <c r="AD2634" s="237"/>
      <c r="AE2634" s="237"/>
      <c r="AF2634" s="237"/>
      <c r="AG2634" s="237"/>
      <c r="AH2634" s="237"/>
      <c r="AJ2634" s="238"/>
    </row>
    <row r="2635" spans="27:39" x14ac:dyDescent="0.25">
      <c r="AA2635" s="237"/>
      <c r="AB2635" s="237"/>
      <c r="AC2635" s="237"/>
      <c r="AD2635" s="237"/>
      <c r="AE2635" s="237"/>
      <c r="AF2635" s="237"/>
      <c r="AG2635" s="237"/>
      <c r="AH2635" s="237"/>
      <c r="AJ2635" s="238"/>
    </row>
    <row r="2636" spans="27:39" x14ac:dyDescent="0.25">
      <c r="AA2636" s="237"/>
      <c r="AB2636" s="237"/>
      <c r="AC2636" s="237"/>
      <c r="AD2636" s="237"/>
      <c r="AE2636" s="237"/>
      <c r="AF2636" s="237"/>
      <c r="AG2636" s="237"/>
      <c r="AH2636" s="237"/>
      <c r="AJ2636" s="238"/>
    </row>
    <row r="2637" spans="27:39" x14ac:dyDescent="0.25">
      <c r="AA2637" s="237"/>
      <c r="AB2637" s="237"/>
      <c r="AC2637" s="237"/>
      <c r="AD2637" s="237"/>
      <c r="AE2637" s="237"/>
      <c r="AF2637" s="237"/>
      <c r="AG2637" s="237"/>
      <c r="AH2637" s="237"/>
      <c r="AJ2637" s="238"/>
    </row>
    <row r="2638" spans="27:39" x14ac:dyDescent="0.25">
      <c r="AA2638" s="237"/>
      <c r="AB2638" s="237"/>
      <c r="AC2638" s="237"/>
      <c r="AD2638" s="237"/>
      <c r="AE2638" s="237"/>
      <c r="AF2638" s="237"/>
      <c r="AG2638" s="237"/>
      <c r="AH2638" s="237"/>
      <c r="AJ2638" s="238"/>
    </row>
    <row r="2639" spans="27:39" x14ac:dyDescent="0.25">
      <c r="AA2639" s="237"/>
      <c r="AB2639" s="237"/>
      <c r="AC2639" s="237"/>
      <c r="AD2639" s="237"/>
      <c r="AE2639" s="237"/>
      <c r="AF2639" s="237"/>
      <c r="AG2639" s="237"/>
      <c r="AH2639" s="237"/>
      <c r="AJ2639" s="238"/>
    </row>
    <row r="2640" spans="27:39" ht="12.75" x14ac:dyDescent="0.2">
      <c r="AL2640" s="226"/>
      <c r="AM2640" s="226"/>
    </row>
    <row r="2641" spans="1:39" ht="12.75" x14ac:dyDescent="0.2">
      <c r="A2641" s="236"/>
      <c r="B2641" s="236"/>
      <c r="C2641" s="236"/>
      <c r="D2641" s="236"/>
      <c r="E2641" s="237"/>
      <c r="G2641" s="237"/>
      <c r="H2641" s="237"/>
      <c r="I2641" s="237"/>
      <c r="K2641" s="237"/>
      <c r="N2641" s="237"/>
      <c r="O2641" s="237"/>
      <c r="P2641" s="237"/>
      <c r="Q2641" s="237"/>
      <c r="AL2641" s="226"/>
      <c r="AM2641" s="226"/>
    </row>
    <row r="2642" spans="1:39" x14ac:dyDescent="0.25">
      <c r="AA2642" s="237"/>
      <c r="AB2642" s="237"/>
      <c r="AC2642" s="237"/>
      <c r="AD2642" s="237"/>
      <c r="AE2642" s="237"/>
      <c r="AF2642" s="237"/>
      <c r="AG2642" s="237"/>
      <c r="AH2642" s="237"/>
      <c r="AJ2642" s="238"/>
    </row>
    <row r="2643" spans="1:39" ht="12.75" x14ac:dyDescent="0.2">
      <c r="AL2643" s="226"/>
      <c r="AM2643" s="226"/>
    </row>
    <row r="2644" spans="1:39" ht="12.75" x14ac:dyDescent="0.2">
      <c r="A2644" s="236"/>
      <c r="B2644" s="236"/>
      <c r="C2644" s="236"/>
      <c r="D2644" s="236"/>
      <c r="E2644" s="237"/>
      <c r="G2644" s="237"/>
      <c r="H2644" s="237"/>
      <c r="I2644" s="237"/>
      <c r="K2644" s="237"/>
      <c r="N2644" s="237"/>
      <c r="O2644" s="237"/>
      <c r="P2644" s="237"/>
      <c r="Q2644" s="237"/>
      <c r="AL2644" s="226"/>
      <c r="AM2644" s="226"/>
    </row>
    <row r="2645" spans="1:39" x14ac:dyDescent="0.25">
      <c r="AA2645" s="237"/>
      <c r="AB2645" s="237"/>
      <c r="AC2645" s="237"/>
      <c r="AD2645" s="237"/>
      <c r="AE2645" s="237"/>
      <c r="AF2645" s="237"/>
      <c r="AG2645" s="237"/>
      <c r="AH2645" s="237"/>
      <c r="AJ2645" s="238"/>
    </row>
    <row r="2646" spans="1:39" x14ac:dyDescent="0.25">
      <c r="AA2646" s="237"/>
      <c r="AB2646" s="237"/>
      <c r="AC2646" s="237"/>
      <c r="AD2646" s="237"/>
      <c r="AE2646" s="237"/>
      <c r="AF2646" s="237"/>
      <c r="AG2646" s="237"/>
      <c r="AH2646" s="237"/>
      <c r="AJ2646" s="238"/>
    </row>
    <row r="2647" spans="1:39" x14ac:dyDescent="0.25">
      <c r="AA2647" s="237"/>
      <c r="AB2647" s="237"/>
      <c r="AC2647" s="237"/>
      <c r="AD2647" s="237"/>
      <c r="AE2647" s="237"/>
      <c r="AF2647" s="237"/>
      <c r="AG2647" s="237"/>
      <c r="AH2647" s="237"/>
      <c r="AJ2647" s="238"/>
    </row>
    <row r="2648" spans="1:39" ht="12.75" x14ac:dyDescent="0.2">
      <c r="AL2648" s="226"/>
      <c r="AM2648" s="226"/>
    </row>
    <row r="2649" spans="1:39" ht="12.75" x14ac:dyDescent="0.2">
      <c r="A2649" s="236"/>
      <c r="B2649" s="236"/>
      <c r="C2649" s="236"/>
      <c r="D2649" s="236"/>
      <c r="E2649" s="237"/>
      <c r="G2649" s="237"/>
      <c r="H2649" s="237"/>
      <c r="I2649" s="237"/>
      <c r="K2649" s="237"/>
      <c r="N2649" s="237"/>
      <c r="O2649" s="237"/>
      <c r="P2649" s="237"/>
      <c r="Q2649" s="237"/>
      <c r="AL2649" s="226"/>
      <c r="AM2649" s="226"/>
    </row>
    <row r="2650" spans="1:39" x14ac:dyDescent="0.25">
      <c r="AA2650" s="237"/>
      <c r="AB2650" s="237"/>
      <c r="AC2650" s="237"/>
      <c r="AD2650" s="237"/>
      <c r="AE2650" s="237"/>
      <c r="AF2650" s="237"/>
      <c r="AG2650" s="237"/>
      <c r="AH2650" s="237"/>
      <c r="AJ2650" s="238"/>
    </row>
    <row r="2651" spans="1:39" x14ac:dyDescent="0.25">
      <c r="AA2651" s="237"/>
      <c r="AB2651" s="237"/>
      <c r="AC2651" s="237"/>
      <c r="AD2651" s="237"/>
      <c r="AE2651" s="237"/>
      <c r="AF2651" s="237"/>
      <c r="AG2651" s="237"/>
      <c r="AH2651" s="237"/>
      <c r="AJ2651" s="238"/>
    </row>
    <row r="2652" spans="1:39" x14ac:dyDescent="0.25">
      <c r="AA2652" s="237"/>
      <c r="AB2652" s="237"/>
      <c r="AC2652" s="237"/>
      <c r="AD2652" s="237"/>
      <c r="AE2652" s="237"/>
      <c r="AF2652" s="237"/>
      <c r="AG2652" s="237"/>
      <c r="AH2652" s="237"/>
      <c r="AJ2652" s="238"/>
    </row>
    <row r="2653" spans="1:39" ht="12.75" x14ac:dyDescent="0.2">
      <c r="AL2653" s="226"/>
      <c r="AM2653" s="226"/>
    </row>
    <row r="2654" spans="1:39" ht="12.75" x14ac:dyDescent="0.2">
      <c r="A2654" s="236"/>
      <c r="B2654" s="236"/>
      <c r="C2654" s="236"/>
      <c r="D2654" s="236"/>
      <c r="E2654" s="237"/>
      <c r="G2654" s="237"/>
      <c r="H2654" s="237"/>
      <c r="I2654" s="237"/>
      <c r="K2654" s="237"/>
      <c r="N2654" s="237"/>
      <c r="O2654" s="237"/>
      <c r="P2654" s="237"/>
      <c r="Q2654" s="237"/>
      <c r="AL2654" s="226"/>
      <c r="AM2654" s="226"/>
    </row>
    <row r="2655" spans="1:39" x14ac:dyDescent="0.25">
      <c r="AA2655" s="237"/>
      <c r="AB2655" s="237"/>
      <c r="AC2655" s="237"/>
      <c r="AD2655" s="237"/>
      <c r="AE2655" s="237"/>
      <c r="AF2655" s="237"/>
      <c r="AG2655" s="237"/>
      <c r="AH2655" s="237"/>
      <c r="AJ2655" s="238"/>
    </row>
    <row r="2656" spans="1:39" ht="12.75" x14ac:dyDescent="0.2">
      <c r="AL2656" s="226"/>
      <c r="AM2656" s="226"/>
    </row>
    <row r="2657" spans="1:39" ht="12.75" x14ac:dyDescent="0.2">
      <c r="A2657" s="236"/>
      <c r="B2657" s="236"/>
      <c r="C2657" s="236"/>
      <c r="D2657" s="236"/>
      <c r="E2657" s="237"/>
      <c r="G2657" s="237"/>
      <c r="H2657" s="237"/>
      <c r="I2657" s="237"/>
      <c r="K2657" s="237"/>
      <c r="N2657" s="237"/>
      <c r="O2657" s="237"/>
      <c r="P2657" s="237"/>
      <c r="Q2657" s="237"/>
      <c r="AL2657" s="226"/>
      <c r="AM2657" s="226"/>
    </row>
    <row r="2658" spans="1:39" x14ac:dyDescent="0.25">
      <c r="AA2658" s="237"/>
      <c r="AB2658" s="237"/>
      <c r="AC2658" s="237"/>
      <c r="AD2658" s="237"/>
      <c r="AE2658" s="237"/>
      <c r="AF2658" s="237"/>
      <c r="AG2658" s="237"/>
      <c r="AH2658" s="237"/>
      <c r="AJ2658" s="238"/>
    </row>
    <row r="2659" spans="1:39" x14ac:dyDescent="0.25">
      <c r="AA2659" s="237"/>
      <c r="AB2659" s="237"/>
      <c r="AC2659" s="237"/>
      <c r="AD2659" s="237"/>
      <c r="AE2659" s="237"/>
      <c r="AF2659" s="237"/>
      <c r="AG2659" s="237"/>
      <c r="AH2659" s="237"/>
      <c r="AJ2659" s="238"/>
    </row>
    <row r="2660" spans="1:39" ht="12.75" x14ac:dyDescent="0.2">
      <c r="AL2660" s="226"/>
      <c r="AM2660" s="226"/>
    </row>
    <row r="2661" spans="1:39" ht="12.75" x14ac:dyDescent="0.2">
      <c r="A2661" s="236"/>
      <c r="B2661" s="236"/>
      <c r="C2661" s="236"/>
      <c r="D2661" s="236"/>
      <c r="E2661" s="237"/>
      <c r="G2661" s="237"/>
      <c r="H2661" s="237"/>
      <c r="I2661" s="237"/>
      <c r="K2661" s="237"/>
      <c r="N2661" s="237"/>
      <c r="O2661" s="237"/>
      <c r="P2661" s="237"/>
      <c r="Q2661" s="237"/>
      <c r="AL2661" s="226"/>
      <c r="AM2661" s="226"/>
    </row>
    <row r="2662" spans="1:39" x14ac:dyDescent="0.25">
      <c r="AA2662" s="237"/>
      <c r="AB2662" s="237"/>
      <c r="AC2662" s="237"/>
      <c r="AD2662" s="237"/>
      <c r="AE2662" s="237"/>
      <c r="AF2662" s="237"/>
      <c r="AG2662" s="237"/>
      <c r="AH2662" s="237"/>
      <c r="AJ2662" s="238"/>
    </row>
    <row r="2663" spans="1:39" x14ac:dyDescent="0.25">
      <c r="AA2663" s="237"/>
      <c r="AB2663" s="237"/>
      <c r="AC2663" s="237"/>
      <c r="AD2663" s="237"/>
      <c r="AE2663" s="237"/>
      <c r="AF2663" s="237"/>
      <c r="AG2663" s="237"/>
      <c r="AH2663" s="237"/>
      <c r="AJ2663" s="238"/>
    </row>
    <row r="2664" spans="1:39" ht="12.75" x14ac:dyDescent="0.2">
      <c r="AL2664" s="226"/>
      <c r="AM2664" s="226"/>
    </row>
    <row r="2665" spans="1:39" ht="12.75" x14ac:dyDescent="0.2">
      <c r="A2665" s="236"/>
      <c r="B2665" s="236"/>
      <c r="C2665" s="236"/>
      <c r="D2665" s="236"/>
      <c r="E2665" s="237"/>
      <c r="G2665" s="237"/>
      <c r="H2665" s="237"/>
      <c r="I2665" s="237"/>
      <c r="K2665" s="237"/>
      <c r="N2665" s="237"/>
      <c r="O2665" s="237"/>
      <c r="P2665" s="237"/>
      <c r="Q2665" s="237"/>
      <c r="AL2665" s="226"/>
      <c r="AM2665" s="226"/>
    </row>
    <row r="2666" spans="1:39" x14ac:dyDescent="0.25">
      <c r="AA2666" s="237"/>
      <c r="AB2666" s="237"/>
      <c r="AC2666" s="237"/>
      <c r="AD2666" s="237"/>
      <c r="AE2666" s="237"/>
      <c r="AF2666" s="237"/>
      <c r="AG2666" s="237"/>
      <c r="AH2666" s="237"/>
      <c r="AJ2666" s="238"/>
    </row>
    <row r="2667" spans="1:39" x14ac:dyDescent="0.25">
      <c r="AA2667" s="237"/>
      <c r="AB2667" s="237"/>
      <c r="AC2667" s="237"/>
      <c r="AD2667" s="237"/>
      <c r="AE2667" s="237"/>
      <c r="AF2667" s="237"/>
      <c r="AG2667" s="237"/>
      <c r="AH2667" s="237"/>
      <c r="AJ2667" s="238"/>
    </row>
    <row r="2668" spans="1:39" x14ac:dyDescent="0.25">
      <c r="AA2668" s="237"/>
      <c r="AB2668" s="237"/>
      <c r="AC2668" s="237"/>
      <c r="AD2668" s="237"/>
      <c r="AE2668" s="237"/>
      <c r="AF2668" s="237"/>
      <c r="AG2668" s="237"/>
      <c r="AH2668" s="237"/>
      <c r="AJ2668" s="238"/>
    </row>
    <row r="2669" spans="1:39" x14ac:dyDescent="0.25">
      <c r="AA2669" s="237"/>
      <c r="AB2669" s="237"/>
      <c r="AC2669" s="237"/>
      <c r="AD2669" s="237"/>
      <c r="AE2669" s="237"/>
      <c r="AF2669" s="237"/>
      <c r="AG2669" s="237"/>
      <c r="AH2669" s="237"/>
      <c r="AJ2669" s="238"/>
    </row>
    <row r="2670" spans="1:39" ht="12.75" x14ac:dyDescent="0.2">
      <c r="AL2670" s="226"/>
      <c r="AM2670" s="226"/>
    </row>
    <row r="2671" spans="1:39" ht="12.75" x14ac:dyDescent="0.2">
      <c r="A2671" s="236"/>
      <c r="B2671" s="236"/>
      <c r="C2671" s="236"/>
      <c r="D2671" s="236"/>
      <c r="E2671" s="237"/>
      <c r="G2671" s="237"/>
      <c r="H2671" s="237"/>
      <c r="I2671" s="237"/>
      <c r="K2671" s="237"/>
      <c r="N2671" s="237"/>
      <c r="O2671" s="237"/>
      <c r="P2671" s="237"/>
      <c r="Q2671" s="237"/>
      <c r="AL2671" s="226"/>
      <c r="AM2671" s="226"/>
    </row>
    <row r="2672" spans="1:39" x14ac:dyDescent="0.25">
      <c r="AA2672" s="237"/>
      <c r="AB2672" s="237"/>
      <c r="AC2672" s="237"/>
      <c r="AD2672" s="237"/>
      <c r="AE2672" s="237"/>
      <c r="AF2672" s="237"/>
      <c r="AG2672" s="237"/>
      <c r="AH2672" s="237"/>
      <c r="AJ2672" s="238"/>
    </row>
    <row r="2673" spans="27:36" x14ac:dyDescent="0.25">
      <c r="AA2673" s="237"/>
      <c r="AB2673" s="237"/>
      <c r="AC2673" s="237"/>
      <c r="AD2673" s="237"/>
      <c r="AE2673" s="237"/>
      <c r="AF2673" s="237"/>
      <c r="AG2673" s="237"/>
      <c r="AH2673" s="237"/>
      <c r="AJ2673" s="238"/>
    </row>
    <row r="2674" spans="27:36" x14ac:dyDescent="0.25">
      <c r="AA2674" s="237"/>
      <c r="AB2674" s="237"/>
      <c r="AC2674" s="237"/>
      <c r="AD2674" s="237"/>
      <c r="AE2674" s="237"/>
      <c r="AF2674" s="237"/>
      <c r="AG2674" s="237"/>
      <c r="AH2674" s="237"/>
      <c r="AJ2674" s="238"/>
    </row>
    <row r="2675" spans="27:36" x14ac:dyDescent="0.25">
      <c r="AA2675" s="237"/>
      <c r="AB2675" s="237"/>
      <c r="AC2675" s="237"/>
      <c r="AD2675" s="237"/>
      <c r="AE2675" s="237"/>
      <c r="AF2675" s="237"/>
      <c r="AG2675" s="237"/>
      <c r="AH2675" s="237"/>
      <c r="AJ2675" s="238"/>
    </row>
    <row r="2676" spans="27:36" x14ac:dyDescent="0.25">
      <c r="AA2676" s="237"/>
      <c r="AB2676" s="237"/>
      <c r="AC2676" s="237"/>
      <c r="AD2676" s="237"/>
      <c r="AE2676" s="237"/>
      <c r="AF2676" s="237"/>
      <c r="AG2676" s="237"/>
      <c r="AH2676" s="237"/>
      <c r="AJ2676" s="238"/>
    </row>
    <row r="2677" spans="27:36" x14ac:dyDescent="0.25">
      <c r="AA2677" s="237"/>
      <c r="AB2677" s="237"/>
      <c r="AC2677" s="237"/>
      <c r="AD2677" s="237"/>
      <c r="AE2677" s="237"/>
      <c r="AF2677" s="237"/>
      <c r="AG2677" s="237"/>
      <c r="AH2677" s="237"/>
      <c r="AJ2677" s="238"/>
    </row>
    <row r="2678" spans="27:36" x14ac:dyDescent="0.25">
      <c r="AA2678" s="237"/>
      <c r="AB2678" s="237"/>
      <c r="AC2678" s="237"/>
      <c r="AD2678" s="237"/>
      <c r="AE2678" s="237"/>
      <c r="AF2678" s="237"/>
      <c r="AG2678" s="237"/>
      <c r="AH2678" s="237"/>
      <c r="AJ2678" s="238"/>
    </row>
    <row r="2679" spans="27:36" x14ac:dyDescent="0.25">
      <c r="AA2679" s="237"/>
      <c r="AB2679" s="237"/>
      <c r="AC2679" s="237"/>
      <c r="AD2679" s="237"/>
      <c r="AE2679" s="237"/>
      <c r="AF2679" s="237"/>
      <c r="AG2679" s="237"/>
      <c r="AH2679" s="237"/>
      <c r="AJ2679" s="238"/>
    </row>
    <row r="2680" spans="27:36" x14ac:dyDescent="0.25">
      <c r="AA2680" s="237"/>
      <c r="AB2680" s="237"/>
      <c r="AC2680" s="237"/>
      <c r="AD2680" s="237"/>
      <c r="AE2680" s="237"/>
      <c r="AF2680" s="237"/>
      <c r="AG2680" s="237"/>
      <c r="AH2680" s="237"/>
      <c r="AJ2680" s="238"/>
    </row>
    <row r="2681" spans="27:36" x14ac:dyDescent="0.25">
      <c r="AA2681" s="237"/>
      <c r="AB2681" s="237"/>
      <c r="AC2681" s="237"/>
      <c r="AD2681" s="237"/>
      <c r="AE2681" s="237"/>
      <c r="AF2681" s="237"/>
      <c r="AG2681" s="237"/>
      <c r="AH2681" s="237"/>
      <c r="AJ2681" s="238"/>
    </row>
    <row r="2682" spans="27:36" x14ac:dyDescent="0.25">
      <c r="AA2682" s="237"/>
      <c r="AB2682" s="237"/>
      <c r="AC2682" s="237"/>
      <c r="AD2682" s="237"/>
      <c r="AE2682" s="237"/>
      <c r="AF2682" s="237"/>
      <c r="AG2682" s="237"/>
      <c r="AH2682" s="237"/>
      <c r="AJ2682" s="238"/>
    </row>
    <row r="2683" spans="27:36" x14ac:dyDescent="0.25">
      <c r="AA2683" s="237"/>
      <c r="AB2683" s="237"/>
      <c r="AC2683" s="237"/>
      <c r="AD2683" s="237"/>
      <c r="AE2683" s="237"/>
      <c r="AF2683" s="237"/>
      <c r="AG2683" s="237"/>
      <c r="AH2683" s="237"/>
      <c r="AJ2683" s="238"/>
    </row>
    <row r="2684" spans="27:36" x14ac:dyDescent="0.25">
      <c r="AA2684" s="237"/>
      <c r="AB2684" s="237"/>
      <c r="AC2684" s="237"/>
      <c r="AD2684" s="237"/>
      <c r="AE2684" s="237"/>
      <c r="AF2684" s="237"/>
      <c r="AG2684" s="237"/>
      <c r="AH2684" s="237"/>
      <c r="AJ2684" s="238"/>
    </row>
    <row r="2685" spans="27:36" x14ac:dyDescent="0.25">
      <c r="AA2685" s="237"/>
      <c r="AB2685" s="237"/>
      <c r="AC2685" s="237"/>
      <c r="AD2685" s="237"/>
      <c r="AE2685" s="237"/>
      <c r="AF2685" s="237"/>
      <c r="AG2685" s="237"/>
      <c r="AH2685" s="237"/>
      <c r="AJ2685" s="238"/>
    </row>
    <row r="2686" spans="27:36" x14ac:dyDescent="0.25">
      <c r="AA2686" s="237"/>
      <c r="AB2686" s="237"/>
      <c r="AC2686" s="237"/>
      <c r="AD2686" s="237"/>
      <c r="AE2686" s="237"/>
      <c r="AF2686" s="237"/>
      <c r="AG2686" s="237"/>
      <c r="AH2686" s="237"/>
      <c r="AJ2686" s="238"/>
    </row>
    <row r="2687" spans="27:36" x14ac:dyDescent="0.25">
      <c r="AA2687" s="237"/>
      <c r="AB2687" s="237"/>
      <c r="AC2687" s="237"/>
      <c r="AD2687" s="237"/>
      <c r="AE2687" s="237"/>
      <c r="AF2687" s="237"/>
      <c r="AG2687" s="237"/>
      <c r="AH2687" s="237"/>
      <c r="AJ2687" s="238"/>
    </row>
    <row r="2688" spans="27:36" x14ac:dyDescent="0.25">
      <c r="AA2688" s="237"/>
      <c r="AB2688" s="237"/>
      <c r="AC2688" s="237"/>
      <c r="AD2688" s="237"/>
      <c r="AE2688" s="237"/>
      <c r="AF2688" s="237"/>
      <c r="AG2688" s="237"/>
      <c r="AH2688" s="237"/>
      <c r="AJ2688" s="238"/>
    </row>
    <row r="2689" spans="1:39" x14ac:dyDescent="0.25">
      <c r="AA2689" s="237"/>
      <c r="AB2689" s="237"/>
      <c r="AC2689" s="237"/>
      <c r="AD2689" s="237"/>
      <c r="AE2689" s="237"/>
      <c r="AF2689" s="237"/>
      <c r="AG2689" s="237"/>
      <c r="AH2689" s="237"/>
      <c r="AJ2689" s="238"/>
    </row>
    <row r="2690" spans="1:39" ht="12.75" x14ac:dyDescent="0.2">
      <c r="AL2690" s="226"/>
      <c r="AM2690" s="226"/>
    </row>
    <row r="2691" spans="1:39" ht="12.75" x14ac:dyDescent="0.2">
      <c r="A2691" s="236"/>
      <c r="B2691" s="236"/>
      <c r="C2691" s="236"/>
      <c r="D2691" s="236"/>
      <c r="E2691" s="237"/>
      <c r="G2691" s="237"/>
      <c r="H2691" s="237"/>
      <c r="I2691" s="237"/>
      <c r="K2691" s="237"/>
      <c r="N2691" s="237"/>
      <c r="O2691" s="237"/>
      <c r="P2691" s="237"/>
      <c r="Q2691" s="237"/>
      <c r="AL2691" s="226"/>
      <c r="AM2691" s="226"/>
    </row>
    <row r="2692" spans="1:39" x14ac:dyDescent="0.25">
      <c r="AA2692" s="237"/>
      <c r="AB2692" s="237"/>
      <c r="AC2692" s="237"/>
      <c r="AD2692" s="237"/>
      <c r="AE2692" s="237"/>
      <c r="AF2692" s="237"/>
      <c r="AG2692" s="237"/>
      <c r="AH2692" s="237"/>
      <c r="AJ2692" s="238"/>
    </row>
    <row r="2693" spans="1:39" ht="12.75" x14ac:dyDescent="0.2">
      <c r="AL2693" s="226"/>
      <c r="AM2693" s="226"/>
    </row>
    <row r="2694" spans="1:39" ht="12.75" x14ac:dyDescent="0.2">
      <c r="A2694" s="236"/>
      <c r="B2694" s="236"/>
      <c r="C2694" s="236"/>
      <c r="D2694" s="236"/>
      <c r="E2694" s="237"/>
      <c r="G2694" s="237"/>
      <c r="H2694" s="237"/>
      <c r="I2694" s="237"/>
      <c r="K2694" s="237"/>
      <c r="N2694" s="237"/>
      <c r="O2694" s="237"/>
      <c r="P2694" s="237"/>
      <c r="Q2694" s="237"/>
      <c r="AL2694" s="226"/>
      <c r="AM2694" s="226"/>
    </row>
    <row r="2695" spans="1:39" x14ac:dyDescent="0.25">
      <c r="AA2695" s="237"/>
      <c r="AB2695" s="237"/>
      <c r="AC2695" s="237"/>
      <c r="AD2695" s="237"/>
      <c r="AE2695" s="237"/>
      <c r="AF2695" s="237"/>
      <c r="AG2695" s="237"/>
      <c r="AH2695" s="237"/>
      <c r="AJ2695" s="238"/>
    </row>
    <row r="2696" spans="1:39" ht="12.75" x14ac:dyDescent="0.2">
      <c r="AL2696" s="226"/>
      <c r="AM2696" s="226"/>
    </row>
    <row r="2697" spans="1:39" ht="12.75" x14ac:dyDescent="0.2">
      <c r="A2697" s="236"/>
      <c r="B2697" s="236"/>
      <c r="C2697" s="236"/>
      <c r="D2697" s="236"/>
      <c r="E2697" s="237"/>
      <c r="G2697" s="237"/>
      <c r="H2697" s="237"/>
      <c r="I2697" s="237"/>
      <c r="K2697" s="237"/>
      <c r="N2697" s="237"/>
      <c r="O2697" s="237"/>
      <c r="P2697" s="237"/>
      <c r="Q2697" s="237"/>
      <c r="AL2697" s="226"/>
      <c r="AM2697" s="226"/>
    </row>
    <row r="2698" spans="1:39" x14ac:dyDescent="0.25">
      <c r="AA2698" s="237"/>
      <c r="AB2698" s="237"/>
      <c r="AC2698" s="237"/>
      <c r="AD2698" s="237"/>
      <c r="AE2698" s="237"/>
      <c r="AF2698" s="237"/>
      <c r="AG2698" s="237"/>
      <c r="AH2698" s="237"/>
      <c r="AJ2698" s="238"/>
    </row>
    <row r="2699" spans="1:39" x14ac:dyDescent="0.25">
      <c r="AA2699" s="237"/>
      <c r="AB2699" s="237"/>
      <c r="AC2699" s="237"/>
      <c r="AD2699" s="237"/>
      <c r="AE2699" s="237"/>
      <c r="AF2699" s="237"/>
      <c r="AG2699" s="237"/>
      <c r="AH2699" s="237"/>
      <c r="AJ2699" s="238"/>
    </row>
    <row r="2700" spans="1:39" x14ac:dyDescent="0.25">
      <c r="AA2700" s="237"/>
      <c r="AB2700" s="237"/>
      <c r="AC2700" s="237"/>
      <c r="AD2700" s="237"/>
      <c r="AE2700" s="237"/>
      <c r="AF2700" s="237"/>
      <c r="AG2700" s="237"/>
      <c r="AH2700" s="237"/>
      <c r="AJ2700" s="238"/>
    </row>
    <row r="2701" spans="1:39" x14ac:dyDescent="0.25">
      <c r="AA2701" s="237"/>
      <c r="AB2701" s="237"/>
      <c r="AC2701" s="237"/>
      <c r="AD2701" s="237"/>
      <c r="AE2701" s="237"/>
      <c r="AF2701" s="237"/>
      <c r="AG2701" s="237"/>
      <c r="AH2701" s="237"/>
      <c r="AJ2701" s="238"/>
    </row>
    <row r="2702" spans="1:39" x14ac:dyDescent="0.25">
      <c r="AA2702" s="237"/>
      <c r="AB2702" s="237"/>
      <c r="AC2702" s="237"/>
      <c r="AD2702" s="237"/>
      <c r="AE2702" s="237"/>
      <c r="AF2702" s="237"/>
      <c r="AG2702" s="237"/>
      <c r="AH2702" s="237"/>
      <c r="AJ2702" s="238"/>
    </row>
    <row r="2703" spans="1:39" x14ac:dyDescent="0.25">
      <c r="AA2703" s="237"/>
      <c r="AB2703" s="237"/>
      <c r="AC2703" s="237"/>
      <c r="AD2703" s="237"/>
      <c r="AE2703" s="237"/>
      <c r="AF2703" s="237"/>
      <c r="AG2703" s="237"/>
      <c r="AH2703" s="237"/>
      <c r="AJ2703" s="238"/>
    </row>
    <row r="2704" spans="1:39" x14ac:dyDescent="0.25">
      <c r="AA2704" s="237"/>
      <c r="AB2704" s="237"/>
      <c r="AC2704" s="237"/>
      <c r="AD2704" s="237"/>
      <c r="AE2704" s="237"/>
      <c r="AF2704" s="237"/>
      <c r="AG2704" s="237"/>
      <c r="AH2704" s="237"/>
      <c r="AJ2704" s="238"/>
    </row>
    <row r="2705" spans="1:39" x14ac:dyDescent="0.25">
      <c r="AA2705" s="237"/>
      <c r="AB2705" s="237"/>
      <c r="AC2705" s="237"/>
      <c r="AD2705" s="237"/>
      <c r="AE2705" s="237"/>
      <c r="AF2705" s="237"/>
      <c r="AG2705" s="237"/>
      <c r="AH2705" s="237"/>
      <c r="AJ2705" s="238"/>
    </row>
    <row r="2706" spans="1:39" x14ac:dyDescent="0.25">
      <c r="AA2706" s="237"/>
      <c r="AB2706" s="237"/>
      <c r="AC2706" s="237"/>
      <c r="AD2706" s="237"/>
      <c r="AE2706" s="237"/>
      <c r="AF2706" s="237"/>
      <c r="AG2706" s="237"/>
      <c r="AH2706" s="237"/>
      <c r="AJ2706" s="238"/>
    </row>
    <row r="2707" spans="1:39" x14ac:dyDescent="0.25">
      <c r="AA2707" s="237"/>
      <c r="AB2707" s="237"/>
      <c r="AC2707" s="237"/>
      <c r="AD2707" s="237"/>
      <c r="AE2707" s="237"/>
      <c r="AF2707" s="237"/>
      <c r="AG2707" s="237"/>
      <c r="AH2707" s="237"/>
      <c r="AJ2707" s="238"/>
    </row>
    <row r="2708" spans="1:39" ht="12.75" x14ac:dyDescent="0.2">
      <c r="AL2708" s="226"/>
      <c r="AM2708" s="226"/>
    </row>
    <row r="2709" spans="1:39" ht="12.75" x14ac:dyDescent="0.2">
      <c r="A2709" s="236"/>
      <c r="B2709" s="236"/>
      <c r="C2709" s="236"/>
      <c r="D2709" s="236"/>
      <c r="E2709" s="237"/>
      <c r="G2709" s="237"/>
      <c r="H2709" s="237"/>
      <c r="I2709" s="237"/>
      <c r="K2709" s="237"/>
      <c r="N2709" s="237"/>
      <c r="O2709" s="237"/>
      <c r="P2709" s="237"/>
      <c r="Q2709" s="237"/>
      <c r="AL2709" s="226"/>
      <c r="AM2709" s="226"/>
    </row>
    <row r="2710" spans="1:39" x14ac:dyDescent="0.25">
      <c r="AA2710" s="237"/>
      <c r="AB2710" s="237"/>
      <c r="AC2710" s="237"/>
      <c r="AD2710" s="237"/>
      <c r="AE2710" s="237"/>
      <c r="AF2710" s="237"/>
      <c r="AG2710" s="237"/>
      <c r="AH2710" s="237"/>
      <c r="AJ2710" s="238"/>
    </row>
    <row r="2711" spans="1:39" x14ac:dyDescent="0.25">
      <c r="AA2711" s="237"/>
      <c r="AB2711" s="237"/>
      <c r="AC2711" s="237"/>
      <c r="AD2711" s="237"/>
      <c r="AE2711" s="237"/>
      <c r="AF2711" s="237"/>
      <c r="AG2711" s="237"/>
      <c r="AH2711" s="237"/>
      <c r="AJ2711" s="238"/>
    </row>
    <row r="2712" spans="1:39" x14ac:dyDescent="0.25">
      <c r="AA2712" s="237"/>
      <c r="AB2712" s="237"/>
      <c r="AC2712" s="237"/>
      <c r="AD2712" s="237"/>
      <c r="AE2712" s="237"/>
      <c r="AF2712" s="237"/>
      <c r="AG2712" s="237"/>
      <c r="AH2712" s="237"/>
      <c r="AJ2712" s="238"/>
    </row>
    <row r="2713" spans="1:39" x14ac:dyDescent="0.25">
      <c r="AA2713" s="237"/>
      <c r="AB2713" s="237"/>
      <c r="AC2713" s="237"/>
      <c r="AD2713" s="237"/>
      <c r="AE2713" s="237"/>
      <c r="AF2713" s="237"/>
      <c r="AG2713" s="237"/>
      <c r="AH2713" s="237"/>
      <c r="AJ2713" s="238"/>
    </row>
    <row r="2714" spans="1:39" x14ac:dyDescent="0.25">
      <c r="AA2714" s="237"/>
      <c r="AB2714" s="237"/>
      <c r="AC2714" s="237"/>
      <c r="AD2714" s="237"/>
      <c r="AE2714" s="237"/>
      <c r="AF2714" s="237"/>
      <c r="AG2714" s="237"/>
      <c r="AH2714" s="237"/>
      <c r="AJ2714" s="238"/>
    </row>
    <row r="2715" spans="1:39" x14ac:dyDescent="0.25">
      <c r="AA2715" s="237"/>
      <c r="AB2715" s="237"/>
      <c r="AC2715" s="237"/>
      <c r="AD2715" s="237"/>
      <c r="AE2715" s="237"/>
      <c r="AF2715" s="237"/>
      <c r="AG2715" s="237"/>
      <c r="AH2715" s="237"/>
      <c r="AJ2715" s="238"/>
    </row>
    <row r="2716" spans="1:39" x14ac:dyDescent="0.25">
      <c r="AA2716" s="237"/>
      <c r="AB2716" s="237"/>
      <c r="AC2716" s="237"/>
      <c r="AD2716" s="237"/>
      <c r="AE2716" s="237"/>
      <c r="AF2716" s="237"/>
      <c r="AG2716" s="237"/>
      <c r="AH2716" s="237"/>
      <c r="AJ2716" s="238"/>
    </row>
    <row r="2717" spans="1:39" x14ac:dyDescent="0.25">
      <c r="AA2717" s="237"/>
      <c r="AB2717" s="237"/>
      <c r="AC2717" s="237"/>
      <c r="AD2717" s="237"/>
      <c r="AE2717" s="237"/>
      <c r="AF2717" s="237"/>
      <c r="AG2717" s="237"/>
      <c r="AH2717" s="237"/>
      <c r="AJ2717" s="238"/>
    </row>
    <row r="2718" spans="1:39" x14ac:dyDescent="0.25">
      <c r="AA2718" s="237"/>
      <c r="AB2718" s="237"/>
      <c r="AC2718" s="237"/>
      <c r="AD2718" s="237"/>
      <c r="AE2718" s="237"/>
      <c r="AF2718" s="237"/>
      <c r="AG2718" s="237"/>
      <c r="AH2718" s="237"/>
      <c r="AJ2718" s="238"/>
    </row>
    <row r="2719" spans="1:39" x14ac:dyDescent="0.25">
      <c r="AA2719" s="237"/>
      <c r="AB2719" s="237"/>
      <c r="AC2719" s="237"/>
      <c r="AD2719" s="237"/>
      <c r="AE2719" s="237"/>
      <c r="AF2719" s="237"/>
      <c r="AG2719" s="237"/>
      <c r="AH2719" s="237"/>
      <c r="AJ2719" s="238"/>
    </row>
    <row r="2720" spans="1:39" x14ac:dyDescent="0.25">
      <c r="AA2720" s="237"/>
      <c r="AB2720" s="237"/>
      <c r="AC2720" s="237"/>
      <c r="AD2720" s="237"/>
      <c r="AE2720" s="237"/>
      <c r="AF2720" s="237"/>
      <c r="AG2720" s="237"/>
      <c r="AH2720" s="237"/>
      <c r="AJ2720" s="238"/>
    </row>
    <row r="2721" spans="1:39" x14ac:dyDescent="0.25">
      <c r="AA2721" s="237"/>
      <c r="AB2721" s="237"/>
      <c r="AC2721" s="237"/>
      <c r="AD2721" s="237"/>
      <c r="AE2721" s="237"/>
      <c r="AF2721" s="237"/>
      <c r="AG2721" s="237"/>
      <c r="AH2721" s="237"/>
      <c r="AJ2721" s="238"/>
    </row>
    <row r="2722" spans="1:39" x14ac:dyDescent="0.25">
      <c r="AA2722" s="237"/>
      <c r="AB2722" s="237"/>
      <c r="AC2722" s="237"/>
      <c r="AD2722" s="237"/>
      <c r="AE2722" s="237"/>
      <c r="AF2722" s="237"/>
      <c r="AG2722" s="237"/>
      <c r="AH2722" s="237"/>
      <c r="AJ2722" s="238"/>
    </row>
    <row r="2723" spans="1:39" x14ac:dyDescent="0.25">
      <c r="AA2723" s="237"/>
      <c r="AB2723" s="237"/>
      <c r="AC2723" s="237"/>
      <c r="AD2723" s="237"/>
      <c r="AE2723" s="237"/>
      <c r="AF2723" s="237"/>
      <c r="AG2723" s="237"/>
      <c r="AH2723" s="237"/>
      <c r="AJ2723" s="238"/>
    </row>
    <row r="2724" spans="1:39" x14ac:dyDescent="0.25">
      <c r="AA2724" s="237"/>
      <c r="AB2724" s="237"/>
      <c r="AC2724" s="237"/>
      <c r="AD2724" s="237"/>
      <c r="AE2724" s="237"/>
      <c r="AF2724" s="237"/>
      <c r="AG2724" s="237"/>
      <c r="AH2724" s="237"/>
      <c r="AJ2724" s="238"/>
    </row>
    <row r="2725" spans="1:39" x14ac:dyDescent="0.25">
      <c r="AA2725" s="237"/>
      <c r="AB2725" s="237"/>
      <c r="AC2725" s="237"/>
      <c r="AD2725" s="237"/>
      <c r="AE2725" s="237"/>
      <c r="AF2725" s="237"/>
      <c r="AG2725" s="237"/>
      <c r="AH2725" s="237"/>
      <c r="AJ2725" s="238"/>
    </row>
    <row r="2726" spans="1:39" ht="12.75" x14ac:dyDescent="0.2">
      <c r="AL2726" s="226"/>
      <c r="AM2726" s="226"/>
    </row>
    <row r="2727" spans="1:39" ht="12.75" x14ac:dyDescent="0.2">
      <c r="A2727" s="236"/>
      <c r="B2727" s="236"/>
      <c r="C2727" s="236"/>
      <c r="D2727" s="236"/>
      <c r="E2727" s="237"/>
      <c r="G2727" s="237"/>
      <c r="H2727" s="237"/>
      <c r="I2727" s="237"/>
      <c r="K2727" s="237"/>
      <c r="N2727" s="237"/>
      <c r="O2727" s="237"/>
      <c r="P2727" s="237"/>
      <c r="Q2727" s="237"/>
      <c r="AL2727" s="226"/>
      <c r="AM2727" s="226"/>
    </row>
    <row r="2728" spans="1:39" x14ac:dyDescent="0.25">
      <c r="AA2728" s="237"/>
      <c r="AB2728" s="237"/>
      <c r="AC2728" s="237"/>
      <c r="AD2728" s="237"/>
      <c r="AE2728" s="237"/>
      <c r="AF2728" s="237"/>
      <c r="AG2728" s="237"/>
      <c r="AH2728" s="237"/>
      <c r="AJ2728" s="238"/>
    </row>
    <row r="2729" spans="1:39" x14ac:dyDescent="0.25">
      <c r="AA2729" s="237"/>
      <c r="AB2729" s="237"/>
      <c r="AC2729" s="237"/>
      <c r="AD2729" s="237"/>
      <c r="AE2729" s="237"/>
      <c r="AF2729" s="237"/>
      <c r="AG2729" s="237"/>
      <c r="AH2729" s="237"/>
      <c r="AJ2729" s="238"/>
    </row>
    <row r="2730" spans="1:39" x14ac:dyDescent="0.25">
      <c r="AA2730" s="237"/>
      <c r="AB2730" s="237"/>
      <c r="AC2730" s="237"/>
      <c r="AD2730" s="237"/>
      <c r="AE2730" s="237"/>
      <c r="AF2730" s="237"/>
      <c r="AG2730" s="237"/>
      <c r="AH2730" s="237"/>
      <c r="AJ2730" s="238"/>
    </row>
    <row r="2731" spans="1:39" ht="12.75" x14ac:dyDescent="0.2">
      <c r="AL2731" s="226"/>
      <c r="AM2731" s="226"/>
    </row>
    <row r="2732" spans="1:39" ht="12.75" x14ac:dyDescent="0.2">
      <c r="A2732" s="236"/>
      <c r="B2732" s="236"/>
      <c r="C2732" s="236"/>
      <c r="D2732" s="236"/>
      <c r="E2732" s="237"/>
      <c r="G2732" s="237"/>
      <c r="H2732" s="237"/>
      <c r="I2732" s="237"/>
      <c r="K2732" s="237"/>
      <c r="N2732" s="237"/>
      <c r="O2732" s="237"/>
      <c r="P2732" s="237"/>
      <c r="Q2732" s="237"/>
      <c r="AL2732" s="226"/>
      <c r="AM2732" s="226"/>
    </row>
    <row r="2733" spans="1:39" x14ac:dyDescent="0.25">
      <c r="AA2733" s="237"/>
      <c r="AB2733" s="237"/>
      <c r="AC2733" s="237"/>
      <c r="AD2733" s="237"/>
      <c r="AE2733" s="237"/>
      <c r="AF2733" s="237"/>
      <c r="AG2733" s="237"/>
      <c r="AH2733" s="237"/>
      <c r="AJ2733" s="238"/>
    </row>
    <row r="2734" spans="1:39" x14ac:dyDescent="0.25">
      <c r="AA2734" s="237"/>
      <c r="AB2734" s="237"/>
      <c r="AC2734" s="237"/>
      <c r="AD2734" s="237"/>
      <c r="AE2734" s="237"/>
      <c r="AF2734" s="237"/>
      <c r="AG2734" s="237"/>
      <c r="AH2734" s="237"/>
      <c r="AJ2734" s="238"/>
    </row>
    <row r="2735" spans="1:39" x14ac:dyDescent="0.25">
      <c r="AA2735" s="237"/>
      <c r="AB2735" s="237"/>
      <c r="AC2735" s="237"/>
      <c r="AD2735" s="237"/>
      <c r="AE2735" s="237"/>
      <c r="AF2735" s="237"/>
      <c r="AG2735" s="237"/>
      <c r="AH2735" s="237"/>
      <c r="AJ2735" s="238"/>
    </row>
    <row r="2736" spans="1:39" x14ac:dyDescent="0.25">
      <c r="AA2736" s="237"/>
      <c r="AB2736" s="237"/>
      <c r="AC2736" s="237"/>
      <c r="AD2736" s="237"/>
      <c r="AE2736" s="237"/>
      <c r="AF2736" s="237"/>
      <c r="AG2736" s="237"/>
      <c r="AH2736" s="237"/>
      <c r="AJ2736" s="238"/>
    </row>
    <row r="2737" spans="1:39" x14ac:dyDescent="0.25">
      <c r="AA2737" s="237"/>
      <c r="AB2737" s="237"/>
      <c r="AC2737" s="237"/>
      <c r="AD2737" s="237"/>
      <c r="AE2737" s="237"/>
      <c r="AF2737" s="237"/>
      <c r="AG2737" s="237"/>
      <c r="AH2737" s="237"/>
      <c r="AJ2737" s="238"/>
    </row>
    <row r="2738" spans="1:39" x14ac:dyDescent="0.25">
      <c r="AA2738" s="237"/>
      <c r="AB2738" s="237"/>
      <c r="AC2738" s="237"/>
      <c r="AD2738" s="237"/>
      <c r="AE2738" s="237"/>
      <c r="AF2738" s="237"/>
      <c r="AG2738" s="237"/>
      <c r="AH2738" s="237"/>
      <c r="AJ2738" s="238"/>
    </row>
    <row r="2739" spans="1:39" x14ac:dyDescent="0.25">
      <c r="AA2739" s="237"/>
      <c r="AB2739" s="237"/>
      <c r="AC2739" s="237"/>
      <c r="AD2739" s="237"/>
      <c r="AE2739" s="237"/>
      <c r="AF2739" s="237"/>
      <c r="AG2739" s="237"/>
      <c r="AH2739" s="237"/>
      <c r="AJ2739" s="238"/>
    </row>
    <row r="2740" spans="1:39" x14ac:dyDescent="0.25">
      <c r="AA2740" s="237"/>
      <c r="AB2740" s="237"/>
      <c r="AC2740" s="237"/>
      <c r="AD2740" s="237"/>
      <c r="AE2740" s="237"/>
      <c r="AF2740" s="237"/>
      <c r="AG2740" s="237"/>
      <c r="AH2740" s="237"/>
      <c r="AJ2740" s="238"/>
    </row>
    <row r="2741" spans="1:39" x14ac:dyDescent="0.25">
      <c r="AA2741" s="237"/>
      <c r="AB2741" s="237"/>
      <c r="AC2741" s="237"/>
      <c r="AD2741" s="237"/>
      <c r="AE2741" s="237"/>
      <c r="AF2741" s="237"/>
      <c r="AG2741" s="237"/>
      <c r="AH2741" s="237"/>
      <c r="AJ2741" s="238"/>
    </row>
    <row r="2742" spans="1:39" x14ac:dyDescent="0.25">
      <c r="AA2742" s="237"/>
      <c r="AB2742" s="237"/>
      <c r="AC2742" s="237"/>
      <c r="AD2742" s="237"/>
      <c r="AE2742" s="237"/>
      <c r="AF2742" s="237"/>
      <c r="AG2742" s="237"/>
      <c r="AH2742" s="237"/>
      <c r="AJ2742" s="238"/>
    </row>
    <row r="2743" spans="1:39" ht="12.75" x14ac:dyDescent="0.2">
      <c r="AL2743" s="226"/>
      <c r="AM2743" s="226"/>
    </row>
    <row r="2744" spans="1:39" ht="12.75" x14ac:dyDescent="0.2">
      <c r="A2744" s="236"/>
      <c r="B2744" s="236"/>
      <c r="C2744" s="236"/>
      <c r="D2744" s="236"/>
      <c r="E2744" s="237"/>
      <c r="G2744" s="237"/>
      <c r="H2744" s="237"/>
      <c r="I2744" s="237"/>
      <c r="K2744" s="237"/>
      <c r="N2744" s="237"/>
      <c r="O2744" s="237"/>
      <c r="P2744" s="237"/>
      <c r="Q2744" s="237"/>
      <c r="AL2744" s="226"/>
      <c r="AM2744" s="226"/>
    </row>
    <row r="2745" spans="1:39" x14ac:dyDescent="0.25">
      <c r="AA2745" s="237"/>
      <c r="AB2745" s="237"/>
      <c r="AC2745" s="237"/>
      <c r="AD2745" s="237"/>
      <c r="AE2745" s="237"/>
      <c r="AF2745" s="237"/>
      <c r="AG2745" s="237"/>
      <c r="AH2745" s="237"/>
      <c r="AJ2745" s="238"/>
    </row>
    <row r="2746" spans="1:39" ht="12.75" x14ac:dyDescent="0.2">
      <c r="AL2746" s="226"/>
      <c r="AM2746" s="226"/>
    </row>
    <row r="2747" spans="1:39" ht="12.75" x14ac:dyDescent="0.2">
      <c r="A2747" s="236"/>
      <c r="B2747" s="236"/>
      <c r="C2747" s="236"/>
      <c r="D2747" s="236"/>
      <c r="E2747" s="237"/>
      <c r="G2747" s="237"/>
      <c r="H2747" s="237"/>
      <c r="I2747" s="237"/>
      <c r="K2747" s="237"/>
      <c r="N2747" s="237"/>
      <c r="O2747" s="237"/>
      <c r="P2747" s="237"/>
      <c r="Q2747" s="237"/>
      <c r="AL2747" s="226"/>
      <c r="AM2747" s="226"/>
    </row>
    <row r="2748" spans="1:39" x14ac:dyDescent="0.25">
      <c r="AA2748" s="237"/>
      <c r="AB2748" s="237"/>
      <c r="AC2748" s="237"/>
      <c r="AD2748" s="237"/>
      <c r="AE2748" s="237"/>
      <c r="AF2748" s="237"/>
      <c r="AG2748" s="237"/>
      <c r="AH2748" s="237"/>
      <c r="AJ2748" s="238"/>
    </row>
    <row r="2749" spans="1:39" x14ac:dyDescent="0.25">
      <c r="AA2749" s="237"/>
      <c r="AB2749" s="237"/>
      <c r="AC2749" s="237"/>
      <c r="AD2749" s="237"/>
      <c r="AE2749" s="237"/>
      <c r="AF2749" s="237"/>
      <c r="AG2749" s="237"/>
      <c r="AH2749" s="237"/>
      <c r="AJ2749" s="238"/>
    </row>
    <row r="2750" spans="1:39" x14ac:dyDescent="0.25">
      <c r="AA2750" s="237"/>
      <c r="AB2750" s="237"/>
      <c r="AC2750" s="237"/>
      <c r="AD2750" s="237"/>
      <c r="AE2750" s="237"/>
      <c r="AF2750" s="237"/>
      <c r="AG2750" s="237"/>
      <c r="AH2750" s="237"/>
      <c r="AJ2750" s="238"/>
    </row>
    <row r="2751" spans="1:39" ht="12.75" x14ac:dyDescent="0.2">
      <c r="AL2751" s="226"/>
      <c r="AM2751" s="226"/>
    </row>
    <row r="2752" spans="1:39" ht="12.75" x14ac:dyDescent="0.2">
      <c r="A2752" s="236"/>
      <c r="B2752" s="236"/>
      <c r="C2752" s="236"/>
      <c r="D2752" s="236"/>
      <c r="E2752" s="237"/>
      <c r="G2752" s="237"/>
      <c r="H2752" s="237"/>
      <c r="I2752" s="237"/>
      <c r="K2752" s="237"/>
      <c r="N2752" s="237"/>
      <c r="O2752" s="237"/>
      <c r="P2752" s="237"/>
      <c r="Q2752" s="237"/>
      <c r="AL2752" s="226"/>
      <c r="AM2752" s="226"/>
    </row>
    <row r="2753" spans="1:39" x14ac:dyDescent="0.25">
      <c r="AA2753" s="237"/>
      <c r="AB2753" s="237"/>
      <c r="AC2753" s="237"/>
      <c r="AD2753" s="237"/>
      <c r="AE2753" s="237"/>
      <c r="AF2753" s="237"/>
      <c r="AG2753" s="237"/>
      <c r="AH2753" s="237"/>
      <c r="AJ2753" s="238"/>
    </row>
    <row r="2754" spans="1:39" x14ac:dyDescent="0.25">
      <c r="AA2754" s="237"/>
      <c r="AB2754" s="237"/>
      <c r="AC2754" s="237"/>
      <c r="AD2754" s="237"/>
      <c r="AE2754" s="237"/>
      <c r="AF2754" s="237"/>
      <c r="AG2754" s="237"/>
      <c r="AH2754" s="237"/>
      <c r="AJ2754" s="238"/>
    </row>
    <row r="2755" spans="1:39" x14ac:dyDescent="0.25">
      <c r="AA2755" s="237"/>
      <c r="AB2755" s="237"/>
      <c r="AC2755" s="237"/>
      <c r="AD2755" s="237"/>
      <c r="AE2755" s="237"/>
      <c r="AF2755" s="237"/>
      <c r="AG2755" s="237"/>
      <c r="AH2755" s="237"/>
      <c r="AJ2755" s="238"/>
    </row>
    <row r="2756" spans="1:39" ht="12.75" x14ac:dyDescent="0.2">
      <c r="AL2756" s="226"/>
      <c r="AM2756" s="226"/>
    </row>
    <row r="2757" spans="1:39" ht="12.75" x14ac:dyDescent="0.2">
      <c r="A2757" s="236"/>
      <c r="B2757" s="236"/>
      <c r="C2757" s="236"/>
      <c r="D2757" s="236"/>
      <c r="E2757" s="237"/>
      <c r="G2757" s="237"/>
      <c r="H2757" s="237"/>
      <c r="I2757" s="237"/>
      <c r="K2757" s="237"/>
      <c r="N2757" s="237"/>
      <c r="O2757" s="237"/>
      <c r="P2757" s="237"/>
      <c r="Q2757" s="237"/>
      <c r="AL2757" s="226"/>
      <c r="AM2757" s="226"/>
    </row>
    <row r="2758" spans="1:39" x14ac:dyDescent="0.25">
      <c r="AA2758" s="237"/>
      <c r="AB2758" s="237"/>
      <c r="AC2758" s="237"/>
      <c r="AD2758" s="237"/>
      <c r="AE2758" s="237"/>
      <c r="AF2758" s="237"/>
      <c r="AG2758" s="237"/>
      <c r="AH2758" s="237"/>
      <c r="AJ2758" s="238"/>
    </row>
    <row r="2759" spans="1:39" x14ac:dyDescent="0.25">
      <c r="AA2759" s="237"/>
      <c r="AB2759" s="237"/>
      <c r="AC2759" s="237"/>
      <c r="AD2759" s="237"/>
      <c r="AE2759" s="237"/>
      <c r="AF2759" s="237"/>
      <c r="AG2759" s="237"/>
      <c r="AH2759" s="237"/>
      <c r="AJ2759" s="238"/>
    </row>
    <row r="2760" spans="1:39" ht="12.75" x14ac:dyDescent="0.2">
      <c r="AL2760" s="226"/>
      <c r="AM2760" s="226"/>
    </row>
    <row r="2761" spans="1:39" ht="12.75" x14ac:dyDescent="0.2">
      <c r="A2761" s="236"/>
      <c r="B2761" s="236"/>
      <c r="C2761" s="236"/>
      <c r="D2761" s="236"/>
      <c r="E2761" s="237"/>
      <c r="G2761" s="237"/>
      <c r="H2761" s="237"/>
      <c r="I2761" s="237"/>
      <c r="K2761" s="237"/>
      <c r="N2761" s="237"/>
      <c r="O2761" s="237"/>
      <c r="P2761" s="237"/>
      <c r="Q2761" s="237"/>
      <c r="AL2761" s="226"/>
      <c r="AM2761" s="226"/>
    </row>
    <row r="2762" spans="1:39" x14ac:dyDescent="0.25">
      <c r="AA2762" s="237"/>
      <c r="AB2762" s="237"/>
      <c r="AC2762" s="237"/>
      <c r="AD2762" s="237"/>
      <c r="AE2762" s="237"/>
      <c r="AF2762" s="237"/>
      <c r="AG2762" s="237"/>
      <c r="AH2762" s="237"/>
      <c r="AJ2762" s="238"/>
    </row>
    <row r="2763" spans="1:39" ht="12.75" x14ac:dyDescent="0.2">
      <c r="AL2763" s="226"/>
      <c r="AM2763" s="226"/>
    </row>
    <row r="2764" spans="1:39" ht="12.75" x14ac:dyDescent="0.2">
      <c r="A2764" s="236"/>
      <c r="B2764" s="236"/>
      <c r="C2764" s="236"/>
      <c r="D2764" s="236"/>
      <c r="E2764" s="237"/>
      <c r="G2764" s="237"/>
      <c r="H2764" s="237"/>
      <c r="I2764" s="237"/>
      <c r="K2764" s="237"/>
      <c r="N2764" s="237"/>
      <c r="O2764" s="237"/>
      <c r="P2764" s="237"/>
      <c r="Q2764" s="237"/>
      <c r="AL2764" s="226"/>
      <c r="AM2764" s="226"/>
    </row>
    <row r="2765" spans="1:39" x14ac:dyDescent="0.25">
      <c r="AA2765" s="237"/>
      <c r="AB2765" s="237"/>
      <c r="AC2765" s="237"/>
      <c r="AD2765" s="237"/>
      <c r="AE2765" s="237"/>
      <c r="AF2765" s="237"/>
      <c r="AG2765" s="237"/>
      <c r="AH2765" s="237"/>
      <c r="AJ2765" s="238"/>
    </row>
    <row r="2766" spans="1:39" ht="12.75" x14ac:dyDescent="0.2">
      <c r="AL2766" s="226"/>
      <c r="AM2766" s="226"/>
    </row>
    <row r="2767" spans="1:39" ht="12.75" x14ac:dyDescent="0.2">
      <c r="A2767" s="236"/>
      <c r="B2767" s="236"/>
      <c r="C2767" s="236"/>
      <c r="D2767" s="236"/>
      <c r="E2767" s="237"/>
      <c r="G2767" s="237"/>
      <c r="H2767" s="237"/>
      <c r="I2767" s="237"/>
      <c r="K2767" s="237"/>
      <c r="N2767" s="237"/>
      <c r="O2767" s="237"/>
      <c r="P2767" s="237"/>
      <c r="Q2767" s="237"/>
      <c r="AL2767" s="226"/>
      <c r="AM2767" s="226"/>
    </row>
    <row r="2768" spans="1:39" x14ac:dyDescent="0.25">
      <c r="AA2768" s="237"/>
      <c r="AB2768" s="237"/>
      <c r="AC2768" s="237"/>
      <c r="AD2768" s="237"/>
      <c r="AE2768" s="237"/>
      <c r="AF2768" s="237"/>
      <c r="AG2768" s="237"/>
      <c r="AH2768" s="237"/>
      <c r="AJ2768" s="238"/>
    </row>
    <row r="2769" spans="1:39" ht="12.75" x14ac:dyDescent="0.2">
      <c r="AL2769" s="226"/>
      <c r="AM2769" s="226"/>
    </row>
    <row r="2770" spans="1:39" ht="12.75" x14ac:dyDescent="0.2">
      <c r="A2770" s="236"/>
      <c r="B2770" s="236"/>
      <c r="C2770" s="236"/>
      <c r="D2770" s="236"/>
      <c r="E2770" s="237"/>
      <c r="G2770" s="237"/>
      <c r="H2770" s="237"/>
      <c r="I2770" s="237"/>
      <c r="K2770" s="237"/>
      <c r="N2770" s="237"/>
      <c r="O2770" s="237"/>
      <c r="P2770" s="237"/>
      <c r="Q2770" s="237"/>
      <c r="AL2770" s="226"/>
      <c r="AM2770" s="226"/>
    </row>
    <row r="2771" spans="1:39" x14ac:dyDescent="0.25">
      <c r="AA2771" s="237"/>
      <c r="AB2771" s="237"/>
      <c r="AC2771" s="237"/>
      <c r="AD2771" s="237"/>
      <c r="AE2771" s="237"/>
      <c r="AF2771" s="237"/>
      <c r="AG2771" s="237"/>
      <c r="AH2771" s="237"/>
      <c r="AJ2771" s="238"/>
    </row>
    <row r="2772" spans="1:39" ht="12.75" x14ac:dyDescent="0.2">
      <c r="AL2772" s="226"/>
      <c r="AM2772" s="226"/>
    </row>
    <row r="2773" spans="1:39" ht="12.75" x14ac:dyDescent="0.2">
      <c r="A2773" s="236"/>
      <c r="B2773" s="236"/>
      <c r="C2773" s="236"/>
      <c r="D2773" s="236"/>
      <c r="E2773" s="237"/>
      <c r="G2773" s="237"/>
      <c r="H2773" s="237"/>
      <c r="I2773" s="237"/>
      <c r="K2773" s="237"/>
      <c r="N2773" s="237"/>
      <c r="O2773" s="237"/>
      <c r="P2773" s="237"/>
      <c r="Q2773" s="237"/>
      <c r="AL2773" s="226"/>
      <c r="AM2773" s="226"/>
    </row>
    <row r="2774" spans="1:39" x14ac:dyDescent="0.25">
      <c r="AA2774" s="237"/>
      <c r="AB2774" s="237"/>
      <c r="AC2774" s="237"/>
      <c r="AD2774" s="237"/>
      <c r="AE2774" s="237"/>
      <c r="AF2774" s="237"/>
      <c r="AG2774" s="237"/>
      <c r="AH2774" s="237"/>
      <c r="AJ2774" s="238"/>
    </row>
    <row r="2775" spans="1:39" ht="12.75" x14ac:dyDescent="0.2">
      <c r="AL2775" s="226"/>
      <c r="AM2775" s="226"/>
    </row>
    <row r="2776" spans="1:39" ht="12.75" x14ac:dyDescent="0.2">
      <c r="A2776" s="236"/>
      <c r="B2776" s="236"/>
      <c r="C2776" s="236"/>
      <c r="D2776" s="236"/>
      <c r="E2776" s="237"/>
      <c r="G2776" s="237"/>
      <c r="H2776" s="237"/>
      <c r="I2776" s="237"/>
      <c r="K2776" s="237"/>
      <c r="N2776" s="237"/>
      <c r="O2776" s="237"/>
      <c r="P2776" s="237"/>
      <c r="Q2776" s="237"/>
      <c r="AL2776" s="226"/>
      <c r="AM2776" s="226"/>
    </row>
    <row r="2777" spans="1:39" x14ac:dyDescent="0.25">
      <c r="AA2777" s="237"/>
      <c r="AB2777" s="237"/>
      <c r="AC2777" s="237"/>
      <c r="AD2777" s="237"/>
      <c r="AE2777" s="237"/>
      <c r="AF2777" s="237"/>
      <c r="AG2777" s="237"/>
      <c r="AH2777" s="237"/>
      <c r="AJ2777" s="238"/>
    </row>
    <row r="2778" spans="1:39" x14ac:dyDescent="0.25">
      <c r="AA2778" s="237"/>
      <c r="AB2778" s="237"/>
      <c r="AC2778" s="237"/>
      <c r="AD2778" s="237"/>
      <c r="AE2778" s="237"/>
      <c r="AF2778" s="237"/>
      <c r="AG2778" s="237"/>
      <c r="AH2778" s="237"/>
      <c r="AJ2778" s="238"/>
    </row>
    <row r="2779" spans="1:39" ht="12.75" x14ac:dyDescent="0.2">
      <c r="AL2779" s="226"/>
      <c r="AM2779" s="226"/>
    </row>
    <row r="2780" spans="1:39" ht="12.75" x14ac:dyDescent="0.2">
      <c r="A2780" s="236"/>
      <c r="B2780" s="236"/>
      <c r="C2780" s="236"/>
      <c r="D2780" s="236"/>
      <c r="E2780" s="237"/>
      <c r="G2780" s="237"/>
      <c r="H2780" s="237"/>
      <c r="I2780" s="237"/>
      <c r="K2780" s="237"/>
      <c r="N2780" s="237"/>
      <c r="O2780" s="237"/>
      <c r="P2780" s="237"/>
      <c r="Q2780" s="237"/>
      <c r="AL2780" s="226"/>
      <c r="AM2780" s="226"/>
    </row>
    <row r="2781" spans="1:39" x14ac:dyDescent="0.25">
      <c r="AA2781" s="237"/>
      <c r="AB2781" s="237"/>
      <c r="AC2781" s="237"/>
      <c r="AD2781" s="237"/>
      <c r="AE2781" s="237"/>
      <c r="AF2781" s="237"/>
      <c r="AG2781" s="237"/>
      <c r="AH2781" s="237"/>
      <c r="AJ2781" s="238"/>
    </row>
    <row r="2782" spans="1:39" ht="12.75" x14ac:dyDescent="0.2">
      <c r="AL2782" s="226"/>
      <c r="AM2782" s="226"/>
    </row>
    <row r="2783" spans="1:39" ht="12.75" x14ac:dyDescent="0.2">
      <c r="A2783" s="236"/>
      <c r="B2783" s="236"/>
      <c r="C2783" s="236"/>
      <c r="D2783" s="236"/>
      <c r="E2783" s="237"/>
      <c r="G2783" s="237"/>
      <c r="H2783" s="237"/>
      <c r="I2783" s="237"/>
      <c r="K2783" s="237"/>
      <c r="N2783" s="237"/>
      <c r="O2783" s="237"/>
      <c r="P2783" s="237"/>
      <c r="Q2783" s="237"/>
      <c r="AL2783" s="226"/>
      <c r="AM2783" s="226"/>
    </row>
    <row r="2784" spans="1:39" x14ac:dyDescent="0.25">
      <c r="AA2784" s="237"/>
      <c r="AB2784" s="237"/>
      <c r="AC2784" s="237"/>
      <c r="AD2784" s="237"/>
      <c r="AE2784" s="237"/>
      <c r="AF2784" s="237"/>
      <c r="AG2784" s="237"/>
      <c r="AH2784" s="237"/>
      <c r="AJ2784" s="238"/>
    </row>
    <row r="2785" spans="1:39" x14ac:dyDescent="0.25">
      <c r="AA2785" s="237"/>
      <c r="AB2785" s="237"/>
      <c r="AC2785" s="237"/>
      <c r="AD2785" s="237"/>
      <c r="AE2785" s="237"/>
      <c r="AF2785" s="237"/>
      <c r="AG2785" s="237"/>
      <c r="AH2785" s="237"/>
      <c r="AJ2785" s="238"/>
    </row>
    <row r="2786" spans="1:39" x14ac:dyDescent="0.25">
      <c r="AA2786" s="237"/>
      <c r="AB2786" s="237"/>
      <c r="AC2786" s="237"/>
      <c r="AD2786" s="237"/>
      <c r="AE2786" s="237"/>
      <c r="AF2786" s="237"/>
      <c r="AG2786" s="237"/>
      <c r="AH2786" s="237"/>
      <c r="AJ2786" s="238"/>
    </row>
    <row r="2787" spans="1:39" x14ac:dyDescent="0.25">
      <c r="AA2787" s="237"/>
      <c r="AB2787" s="237"/>
      <c r="AC2787" s="237"/>
      <c r="AD2787" s="237"/>
      <c r="AE2787" s="237"/>
      <c r="AF2787" s="237"/>
      <c r="AG2787" s="237"/>
      <c r="AH2787" s="237"/>
      <c r="AJ2787" s="238"/>
    </row>
    <row r="2788" spans="1:39" x14ac:dyDescent="0.25">
      <c r="AA2788" s="237"/>
      <c r="AB2788" s="237"/>
      <c r="AC2788" s="237"/>
      <c r="AD2788" s="237"/>
      <c r="AE2788" s="237"/>
      <c r="AF2788" s="237"/>
      <c r="AG2788" s="237"/>
      <c r="AH2788" s="237"/>
      <c r="AJ2788" s="238"/>
    </row>
    <row r="2789" spans="1:39" x14ac:dyDescent="0.25">
      <c r="AA2789" s="237"/>
      <c r="AB2789" s="237"/>
      <c r="AC2789" s="237"/>
      <c r="AD2789" s="237"/>
      <c r="AE2789" s="237"/>
      <c r="AF2789" s="237"/>
      <c r="AG2789" s="237"/>
      <c r="AH2789" s="237"/>
      <c r="AJ2789" s="238"/>
    </row>
    <row r="2790" spans="1:39" x14ac:dyDescent="0.25">
      <c r="AA2790" s="237"/>
      <c r="AB2790" s="237"/>
      <c r="AC2790" s="237"/>
      <c r="AD2790" s="237"/>
      <c r="AE2790" s="237"/>
      <c r="AF2790" s="237"/>
      <c r="AG2790" s="237"/>
      <c r="AH2790" s="237"/>
      <c r="AJ2790" s="238"/>
    </row>
    <row r="2791" spans="1:39" x14ac:dyDescent="0.25">
      <c r="AA2791" s="237"/>
      <c r="AB2791" s="237"/>
      <c r="AC2791" s="237"/>
      <c r="AD2791" s="237"/>
      <c r="AE2791" s="237"/>
      <c r="AF2791" s="237"/>
      <c r="AG2791" s="237"/>
      <c r="AH2791" s="237"/>
      <c r="AJ2791" s="238"/>
    </row>
    <row r="2792" spans="1:39" x14ac:dyDescent="0.25">
      <c r="AA2792" s="237"/>
      <c r="AB2792" s="237"/>
      <c r="AC2792" s="237"/>
      <c r="AD2792" s="237"/>
      <c r="AE2792" s="237"/>
      <c r="AF2792" s="237"/>
      <c r="AG2792" s="237"/>
      <c r="AH2792" s="237"/>
      <c r="AJ2792" s="238"/>
    </row>
    <row r="2793" spans="1:39" x14ac:dyDescent="0.25">
      <c r="AA2793" s="237"/>
      <c r="AB2793" s="237"/>
      <c r="AC2793" s="237"/>
      <c r="AD2793" s="237"/>
      <c r="AE2793" s="237"/>
      <c r="AF2793" s="237"/>
      <c r="AG2793" s="237"/>
      <c r="AH2793" s="237"/>
      <c r="AJ2793" s="238"/>
    </row>
    <row r="2794" spans="1:39" ht="12.75" x14ac:dyDescent="0.2">
      <c r="AL2794" s="226"/>
      <c r="AM2794" s="226"/>
    </row>
    <row r="2795" spans="1:39" ht="12.75" x14ac:dyDescent="0.2">
      <c r="A2795" s="236"/>
      <c r="B2795" s="236"/>
      <c r="C2795" s="236"/>
      <c r="D2795" s="236"/>
      <c r="E2795" s="237"/>
      <c r="G2795" s="237"/>
      <c r="H2795" s="237"/>
      <c r="I2795" s="237"/>
      <c r="K2795" s="237"/>
      <c r="N2795" s="237"/>
      <c r="O2795" s="237"/>
      <c r="P2795" s="237"/>
      <c r="Q2795" s="237"/>
      <c r="AL2795" s="226"/>
      <c r="AM2795" s="226"/>
    </row>
    <row r="2796" spans="1:39" x14ac:dyDescent="0.25">
      <c r="AA2796" s="237"/>
      <c r="AB2796" s="237"/>
      <c r="AC2796" s="237"/>
      <c r="AD2796" s="237"/>
      <c r="AE2796" s="237"/>
      <c r="AF2796" s="237"/>
      <c r="AG2796" s="237"/>
      <c r="AH2796" s="237"/>
      <c r="AJ2796" s="238"/>
    </row>
    <row r="2797" spans="1:39" x14ac:dyDescent="0.25">
      <c r="AA2797" s="237"/>
      <c r="AB2797" s="237"/>
      <c r="AC2797" s="237"/>
      <c r="AD2797" s="237"/>
      <c r="AE2797" s="237"/>
      <c r="AF2797" s="237"/>
      <c r="AG2797" s="237"/>
      <c r="AH2797" s="237"/>
      <c r="AJ2797" s="238"/>
    </row>
    <row r="2798" spans="1:39" x14ac:dyDescent="0.25">
      <c r="AA2798" s="237"/>
      <c r="AB2798" s="237"/>
      <c r="AC2798" s="237"/>
      <c r="AD2798" s="237"/>
      <c r="AE2798" s="237"/>
      <c r="AF2798" s="237"/>
      <c r="AG2798" s="237"/>
      <c r="AH2798" s="237"/>
      <c r="AJ2798" s="238"/>
    </row>
    <row r="2799" spans="1:39" x14ac:dyDescent="0.25">
      <c r="AA2799" s="237"/>
      <c r="AB2799" s="237"/>
      <c r="AC2799" s="237"/>
      <c r="AD2799" s="237"/>
      <c r="AE2799" s="237"/>
      <c r="AF2799" s="237"/>
      <c r="AG2799" s="237"/>
      <c r="AH2799" s="237"/>
      <c r="AJ2799" s="238"/>
    </row>
    <row r="2800" spans="1:39" ht="12.75" x14ac:dyDescent="0.2">
      <c r="AL2800" s="226"/>
      <c r="AM2800" s="226"/>
    </row>
    <row r="2801" spans="1:39" ht="12.75" x14ac:dyDescent="0.2">
      <c r="A2801" s="236"/>
      <c r="B2801" s="236"/>
      <c r="C2801" s="236"/>
      <c r="D2801" s="236"/>
      <c r="E2801" s="237"/>
      <c r="G2801" s="237"/>
      <c r="H2801" s="237"/>
      <c r="I2801" s="237"/>
      <c r="K2801" s="237"/>
      <c r="N2801" s="237"/>
      <c r="O2801" s="237"/>
      <c r="P2801" s="237"/>
      <c r="Q2801" s="237"/>
      <c r="AL2801" s="226"/>
      <c r="AM2801" s="226"/>
    </row>
    <row r="2802" spans="1:39" x14ac:dyDescent="0.25">
      <c r="AA2802" s="237"/>
      <c r="AB2802" s="237"/>
      <c r="AC2802" s="237"/>
      <c r="AD2802" s="237"/>
      <c r="AE2802" s="237"/>
      <c r="AF2802" s="237"/>
      <c r="AG2802" s="237"/>
      <c r="AH2802" s="237"/>
      <c r="AJ2802" s="238"/>
    </row>
    <row r="2803" spans="1:39" x14ac:dyDescent="0.25">
      <c r="AA2803" s="237"/>
      <c r="AB2803" s="237"/>
      <c r="AC2803" s="237"/>
      <c r="AD2803" s="237"/>
      <c r="AE2803" s="237"/>
      <c r="AF2803" s="237"/>
      <c r="AG2803" s="237"/>
      <c r="AH2803" s="237"/>
      <c r="AJ2803" s="238"/>
    </row>
    <row r="2804" spans="1:39" x14ac:dyDescent="0.25">
      <c r="AA2804" s="237"/>
      <c r="AB2804" s="237"/>
      <c r="AC2804" s="237"/>
      <c r="AD2804" s="237"/>
      <c r="AE2804" s="237"/>
      <c r="AF2804" s="237"/>
      <c r="AG2804" s="237"/>
      <c r="AH2804" s="237"/>
      <c r="AJ2804" s="238"/>
    </row>
    <row r="2805" spans="1:39" ht="12.75" x14ac:dyDescent="0.2">
      <c r="AL2805" s="226"/>
      <c r="AM2805" s="226"/>
    </row>
    <row r="2806" spans="1:39" ht="12.75" x14ac:dyDescent="0.2">
      <c r="A2806" s="236"/>
      <c r="B2806" s="236"/>
      <c r="C2806" s="236"/>
      <c r="D2806" s="236"/>
      <c r="E2806" s="237"/>
      <c r="G2806" s="237"/>
      <c r="H2806" s="237"/>
      <c r="I2806" s="237"/>
      <c r="K2806" s="237"/>
      <c r="N2806" s="237"/>
      <c r="O2806" s="237"/>
      <c r="P2806" s="237"/>
      <c r="Q2806" s="237"/>
      <c r="AL2806" s="226"/>
      <c r="AM2806" s="226"/>
    </row>
    <row r="2807" spans="1:39" x14ac:dyDescent="0.25">
      <c r="AA2807" s="237"/>
      <c r="AB2807" s="237"/>
      <c r="AC2807" s="237"/>
      <c r="AD2807" s="237"/>
      <c r="AE2807" s="237"/>
      <c r="AF2807" s="237"/>
      <c r="AG2807" s="237"/>
      <c r="AH2807" s="237"/>
      <c r="AJ2807" s="238"/>
    </row>
    <row r="2808" spans="1:39" x14ac:dyDescent="0.25">
      <c r="AA2808" s="237"/>
      <c r="AB2808" s="237"/>
      <c r="AC2808" s="237"/>
      <c r="AD2808" s="237"/>
      <c r="AE2808" s="237"/>
      <c r="AF2808" s="237"/>
      <c r="AG2808" s="237"/>
      <c r="AH2808" s="237"/>
      <c r="AJ2808" s="238"/>
    </row>
    <row r="2809" spans="1:39" ht="12.75" x14ac:dyDescent="0.2">
      <c r="AL2809" s="226"/>
      <c r="AM2809" s="226"/>
    </row>
    <row r="2810" spans="1:39" ht="12.75" x14ac:dyDescent="0.2">
      <c r="A2810" s="236"/>
      <c r="B2810" s="236"/>
      <c r="C2810" s="236"/>
      <c r="D2810" s="236"/>
      <c r="E2810" s="237"/>
      <c r="G2810" s="237"/>
      <c r="H2810" s="237"/>
      <c r="I2810" s="237"/>
      <c r="K2810" s="237"/>
      <c r="N2810" s="237"/>
      <c r="O2810" s="237"/>
      <c r="P2810" s="237"/>
      <c r="Q2810" s="237"/>
      <c r="AL2810" s="226"/>
      <c r="AM2810" s="226"/>
    </row>
    <row r="2811" spans="1:39" x14ac:dyDescent="0.25">
      <c r="AA2811" s="237"/>
      <c r="AB2811" s="237"/>
      <c r="AC2811" s="237"/>
      <c r="AD2811" s="237"/>
      <c r="AE2811" s="237"/>
      <c r="AF2811" s="237"/>
      <c r="AG2811" s="237"/>
      <c r="AH2811" s="237"/>
      <c r="AJ2811" s="238"/>
    </row>
    <row r="2812" spans="1:39" ht="12.75" x14ac:dyDescent="0.2">
      <c r="AL2812" s="226"/>
      <c r="AM2812" s="226"/>
    </row>
    <row r="2813" spans="1:39" ht="12.75" x14ac:dyDescent="0.2">
      <c r="A2813" s="236"/>
      <c r="B2813" s="236"/>
      <c r="C2813" s="236"/>
      <c r="D2813" s="236"/>
      <c r="E2813" s="237"/>
      <c r="G2813" s="237"/>
      <c r="H2813" s="237"/>
      <c r="I2813" s="237"/>
      <c r="K2813" s="237"/>
      <c r="N2813" s="237"/>
      <c r="O2813" s="237"/>
      <c r="P2813" s="237"/>
      <c r="Q2813" s="237"/>
      <c r="AL2813" s="226"/>
      <c r="AM2813" s="226"/>
    </row>
    <row r="2814" spans="1:39" x14ac:dyDescent="0.25">
      <c r="AA2814" s="237"/>
      <c r="AB2814" s="237"/>
      <c r="AC2814" s="237"/>
      <c r="AD2814" s="237"/>
      <c r="AE2814" s="237"/>
      <c r="AF2814" s="237"/>
      <c r="AG2814" s="237"/>
      <c r="AH2814" s="237"/>
      <c r="AJ2814" s="238"/>
    </row>
    <row r="2815" spans="1:39" ht="12.75" x14ac:dyDescent="0.2">
      <c r="AL2815" s="226"/>
      <c r="AM2815" s="226"/>
    </row>
    <row r="2816" spans="1:39" ht="12.75" x14ac:dyDescent="0.2">
      <c r="A2816" s="236"/>
      <c r="B2816" s="236"/>
      <c r="C2816" s="236"/>
      <c r="D2816" s="236"/>
      <c r="E2816" s="237"/>
      <c r="G2816" s="237"/>
      <c r="H2816" s="237"/>
      <c r="I2816" s="237"/>
      <c r="K2816" s="237"/>
      <c r="N2816" s="237"/>
      <c r="O2816" s="237"/>
      <c r="P2816" s="237"/>
      <c r="Q2816" s="237"/>
      <c r="AL2816" s="226"/>
      <c r="AM2816" s="226"/>
    </row>
    <row r="2817" spans="1:39" x14ac:dyDescent="0.25">
      <c r="AA2817" s="237"/>
      <c r="AB2817" s="237"/>
      <c r="AC2817" s="237"/>
      <c r="AD2817" s="237"/>
      <c r="AE2817" s="237"/>
      <c r="AF2817" s="237"/>
      <c r="AG2817" s="237"/>
      <c r="AH2817" s="237"/>
      <c r="AJ2817" s="238"/>
    </row>
    <row r="2818" spans="1:39" x14ac:dyDescent="0.25">
      <c r="AA2818" s="237"/>
      <c r="AB2818" s="237"/>
      <c r="AC2818" s="237"/>
      <c r="AD2818" s="237"/>
      <c r="AE2818" s="237"/>
      <c r="AF2818" s="237"/>
      <c r="AG2818" s="237"/>
      <c r="AH2818" s="237"/>
      <c r="AJ2818" s="238"/>
    </row>
    <row r="2819" spans="1:39" x14ac:dyDescent="0.25">
      <c r="AA2819" s="237"/>
      <c r="AB2819" s="237"/>
      <c r="AC2819" s="237"/>
      <c r="AD2819" s="237"/>
      <c r="AE2819" s="237"/>
      <c r="AF2819" s="237"/>
      <c r="AG2819" s="237"/>
      <c r="AH2819" s="237"/>
      <c r="AJ2819" s="238"/>
    </row>
    <row r="2820" spans="1:39" x14ac:dyDescent="0.25">
      <c r="AA2820" s="237"/>
      <c r="AB2820" s="237"/>
      <c r="AC2820" s="237"/>
      <c r="AD2820" s="237"/>
      <c r="AE2820" s="237"/>
      <c r="AF2820" s="237"/>
      <c r="AG2820" s="237"/>
      <c r="AH2820" s="237"/>
      <c r="AJ2820" s="238"/>
    </row>
    <row r="2821" spans="1:39" ht="12.75" x14ac:dyDescent="0.2">
      <c r="AL2821" s="226"/>
      <c r="AM2821" s="226"/>
    </row>
    <row r="2822" spans="1:39" ht="12.75" x14ac:dyDescent="0.2">
      <c r="A2822" s="236"/>
      <c r="B2822" s="236"/>
      <c r="C2822" s="236"/>
      <c r="D2822" s="236"/>
      <c r="E2822" s="237"/>
      <c r="G2822" s="237"/>
      <c r="H2822" s="237"/>
      <c r="I2822" s="237"/>
      <c r="K2822" s="237"/>
      <c r="N2822" s="237"/>
      <c r="O2822" s="237"/>
      <c r="P2822" s="237"/>
      <c r="Q2822" s="237"/>
      <c r="AL2822" s="226"/>
      <c r="AM2822" s="226"/>
    </row>
    <row r="2823" spans="1:39" x14ac:dyDescent="0.25">
      <c r="AA2823" s="237"/>
      <c r="AB2823" s="237"/>
      <c r="AC2823" s="237"/>
      <c r="AD2823" s="237"/>
      <c r="AE2823" s="237"/>
      <c r="AF2823" s="237"/>
      <c r="AG2823" s="237"/>
      <c r="AH2823" s="237"/>
      <c r="AJ2823" s="238"/>
    </row>
    <row r="2824" spans="1:39" ht="12.75" x14ac:dyDescent="0.2">
      <c r="AL2824" s="226"/>
      <c r="AM2824" s="226"/>
    </row>
    <row r="2825" spans="1:39" ht="12.75" x14ac:dyDescent="0.2">
      <c r="A2825" s="236"/>
      <c r="B2825" s="236"/>
      <c r="C2825" s="236"/>
      <c r="D2825" s="236"/>
      <c r="E2825" s="237"/>
      <c r="G2825" s="237"/>
      <c r="H2825" s="237"/>
      <c r="I2825" s="237"/>
      <c r="K2825" s="237"/>
      <c r="N2825" s="237"/>
      <c r="O2825" s="237"/>
      <c r="P2825" s="237"/>
      <c r="Q2825" s="237"/>
      <c r="AL2825" s="226"/>
      <c r="AM2825" s="226"/>
    </row>
    <row r="2826" spans="1:39" x14ac:dyDescent="0.25">
      <c r="AA2826" s="237"/>
      <c r="AB2826" s="237"/>
      <c r="AC2826" s="237"/>
      <c r="AD2826" s="237"/>
      <c r="AE2826" s="237"/>
      <c r="AF2826" s="237"/>
      <c r="AG2826" s="237"/>
      <c r="AH2826" s="237"/>
      <c r="AJ2826" s="238"/>
    </row>
    <row r="2827" spans="1:39" x14ac:dyDescent="0.25">
      <c r="AA2827" s="237"/>
      <c r="AB2827" s="237"/>
      <c r="AC2827" s="237"/>
      <c r="AD2827" s="237"/>
      <c r="AE2827" s="237"/>
      <c r="AF2827" s="237"/>
      <c r="AG2827" s="237"/>
      <c r="AH2827" s="237"/>
      <c r="AJ2827" s="238"/>
    </row>
    <row r="2828" spans="1:39" ht="12.75" x14ac:dyDescent="0.2">
      <c r="AL2828" s="226"/>
      <c r="AM2828" s="226"/>
    </row>
    <row r="2829" spans="1:39" ht="12.75" x14ac:dyDescent="0.2">
      <c r="A2829" s="236"/>
      <c r="B2829" s="236"/>
      <c r="C2829" s="236"/>
      <c r="D2829" s="236"/>
      <c r="E2829" s="237"/>
      <c r="G2829" s="237"/>
      <c r="H2829" s="237"/>
      <c r="I2829" s="237"/>
      <c r="K2829" s="237"/>
      <c r="N2829" s="237"/>
      <c r="O2829" s="237"/>
      <c r="P2829" s="237"/>
      <c r="Q2829" s="237"/>
      <c r="AL2829" s="226"/>
      <c r="AM2829" s="226"/>
    </row>
    <row r="2830" spans="1:39" x14ac:dyDescent="0.25">
      <c r="AA2830" s="237"/>
      <c r="AB2830" s="237"/>
      <c r="AC2830" s="237"/>
      <c r="AD2830" s="237"/>
      <c r="AE2830" s="237"/>
      <c r="AF2830" s="237"/>
      <c r="AG2830" s="237"/>
      <c r="AH2830" s="237"/>
      <c r="AJ2830" s="238"/>
    </row>
    <row r="2831" spans="1:39" x14ac:dyDescent="0.25">
      <c r="AA2831" s="237"/>
      <c r="AB2831" s="237"/>
      <c r="AC2831" s="237"/>
      <c r="AD2831" s="237"/>
      <c r="AE2831" s="237"/>
      <c r="AF2831" s="237"/>
      <c r="AG2831" s="237"/>
      <c r="AH2831" s="237"/>
      <c r="AJ2831" s="238"/>
    </row>
    <row r="2832" spans="1:39" ht="12.75" x14ac:dyDescent="0.2">
      <c r="AL2832" s="226"/>
      <c r="AM2832" s="226"/>
    </row>
    <row r="2833" spans="1:39" ht="12.75" x14ac:dyDescent="0.2">
      <c r="A2833" s="236"/>
      <c r="B2833" s="236"/>
      <c r="C2833" s="236"/>
      <c r="D2833" s="236"/>
      <c r="E2833" s="237"/>
      <c r="G2833" s="237"/>
      <c r="H2833" s="237"/>
      <c r="I2833" s="237"/>
      <c r="K2833" s="237"/>
      <c r="N2833" s="237"/>
      <c r="O2833" s="237"/>
      <c r="P2833" s="237"/>
      <c r="Q2833" s="237"/>
      <c r="AL2833" s="226"/>
      <c r="AM2833" s="226"/>
    </row>
    <row r="2834" spans="1:39" x14ac:dyDescent="0.25">
      <c r="AA2834" s="237"/>
      <c r="AB2834" s="237"/>
      <c r="AC2834" s="237"/>
      <c r="AD2834" s="237"/>
      <c r="AE2834" s="237"/>
      <c r="AF2834" s="237"/>
      <c r="AG2834" s="237"/>
      <c r="AH2834" s="237"/>
      <c r="AJ2834" s="238"/>
    </row>
    <row r="2835" spans="1:39" ht="12.75" x14ac:dyDescent="0.2">
      <c r="AL2835" s="226"/>
      <c r="AM2835" s="226"/>
    </row>
    <row r="2836" spans="1:39" ht="12.75" x14ac:dyDescent="0.2">
      <c r="A2836" s="236"/>
      <c r="B2836" s="236"/>
      <c r="C2836" s="236"/>
      <c r="D2836" s="236"/>
      <c r="E2836" s="237"/>
      <c r="G2836" s="237"/>
      <c r="H2836" s="237"/>
      <c r="I2836" s="237"/>
      <c r="K2836" s="237"/>
      <c r="N2836" s="237"/>
      <c r="O2836" s="237"/>
      <c r="P2836" s="237"/>
      <c r="Q2836" s="237"/>
      <c r="AL2836" s="226"/>
      <c r="AM2836" s="226"/>
    </row>
    <row r="2837" spans="1:39" x14ac:dyDescent="0.25">
      <c r="AA2837" s="237"/>
      <c r="AB2837" s="237"/>
      <c r="AC2837" s="237"/>
      <c r="AD2837" s="237"/>
      <c r="AE2837" s="237"/>
      <c r="AF2837" s="237"/>
      <c r="AG2837" s="237"/>
      <c r="AH2837" s="237"/>
      <c r="AJ2837" s="238"/>
    </row>
    <row r="2838" spans="1:39" x14ac:dyDescent="0.25">
      <c r="AA2838" s="237"/>
      <c r="AB2838" s="237"/>
      <c r="AC2838" s="237"/>
      <c r="AD2838" s="237"/>
      <c r="AE2838" s="237"/>
      <c r="AF2838" s="237"/>
      <c r="AG2838" s="237"/>
      <c r="AH2838" s="237"/>
      <c r="AJ2838" s="238"/>
    </row>
    <row r="2839" spans="1:39" ht="12.75" x14ac:dyDescent="0.2">
      <c r="AL2839" s="226"/>
      <c r="AM2839" s="226"/>
    </row>
    <row r="2840" spans="1:39" ht="12.75" x14ac:dyDescent="0.2">
      <c r="A2840" s="236"/>
      <c r="B2840" s="236"/>
      <c r="C2840" s="236"/>
      <c r="D2840" s="236"/>
      <c r="E2840" s="237"/>
      <c r="G2840" s="237"/>
      <c r="H2840" s="237"/>
      <c r="I2840" s="237"/>
      <c r="K2840" s="237"/>
      <c r="N2840" s="237"/>
      <c r="O2840" s="237"/>
      <c r="P2840" s="237"/>
      <c r="Q2840" s="237"/>
      <c r="AL2840" s="226"/>
      <c r="AM2840" s="226"/>
    </row>
    <row r="2841" spans="1:39" x14ac:dyDescent="0.25">
      <c r="AA2841" s="237"/>
      <c r="AB2841" s="237"/>
      <c r="AC2841" s="237"/>
      <c r="AD2841" s="237"/>
      <c r="AE2841" s="237"/>
      <c r="AF2841" s="237"/>
      <c r="AG2841" s="237"/>
      <c r="AH2841" s="237"/>
      <c r="AJ2841" s="238"/>
    </row>
    <row r="2842" spans="1:39" x14ac:dyDescent="0.25">
      <c r="AA2842" s="237"/>
      <c r="AB2842" s="237"/>
      <c r="AC2842" s="237"/>
      <c r="AD2842" s="237"/>
      <c r="AE2842" s="237"/>
      <c r="AF2842" s="237"/>
      <c r="AG2842" s="237"/>
      <c r="AH2842" s="237"/>
      <c r="AJ2842" s="238"/>
    </row>
    <row r="2843" spans="1:39" ht="12.75" x14ac:dyDescent="0.2">
      <c r="AL2843" s="226"/>
      <c r="AM2843" s="226"/>
    </row>
    <row r="2844" spans="1:39" ht="12.75" x14ac:dyDescent="0.2">
      <c r="A2844" s="236"/>
      <c r="B2844" s="236"/>
      <c r="C2844" s="236"/>
      <c r="D2844" s="236"/>
      <c r="E2844" s="237"/>
      <c r="G2844" s="237"/>
      <c r="H2844" s="237"/>
      <c r="I2844" s="237"/>
      <c r="K2844" s="237"/>
      <c r="N2844" s="237"/>
      <c r="O2844" s="237"/>
      <c r="P2844" s="237"/>
      <c r="Q2844" s="237"/>
      <c r="AL2844" s="226"/>
      <c r="AM2844" s="226"/>
    </row>
    <row r="2845" spans="1:39" x14ac:dyDescent="0.25">
      <c r="AA2845" s="237"/>
      <c r="AB2845" s="237"/>
      <c r="AC2845" s="237"/>
      <c r="AD2845" s="237"/>
      <c r="AE2845" s="237"/>
      <c r="AF2845" s="237"/>
      <c r="AG2845" s="237"/>
      <c r="AH2845" s="237"/>
      <c r="AJ2845" s="238"/>
    </row>
    <row r="2846" spans="1:39" x14ac:dyDescent="0.25">
      <c r="AA2846" s="237"/>
      <c r="AB2846" s="237"/>
      <c r="AC2846" s="237"/>
      <c r="AD2846" s="237"/>
      <c r="AE2846" s="237"/>
      <c r="AF2846" s="237"/>
      <c r="AG2846" s="237"/>
      <c r="AH2846" s="237"/>
      <c r="AJ2846" s="238"/>
    </row>
    <row r="2847" spans="1:39" x14ac:dyDescent="0.25">
      <c r="AA2847" s="237"/>
      <c r="AB2847" s="237"/>
      <c r="AC2847" s="237"/>
      <c r="AD2847" s="237"/>
      <c r="AE2847" s="237"/>
      <c r="AF2847" s="237"/>
      <c r="AG2847" s="237"/>
      <c r="AH2847" s="237"/>
      <c r="AJ2847" s="238"/>
    </row>
    <row r="2848" spans="1:39" ht="12.75" x14ac:dyDescent="0.2">
      <c r="AL2848" s="226"/>
      <c r="AM2848" s="226"/>
    </row>
    <row r="2849" spans="1:39" ht="12.75" x14ac:dyDescent="0.2">
      <c r="A2849" s="236"/>
      <c r="B2849" s="236"/>
      <c r="C2849" s="236"/>
      <c r="D2849" s="236"/>
      <c r="E2849" s="237"/>
      <c r="G2849" s="237"/>
      <c r="H2849" s="237"/>
      <c r="I2849" s="237"/>
      <c r="K2849" s="237"/>
      <c r="N2849" s="237"/>
      <c r="O2849" s="237"/>
      <c r="P2849" s="237"/>
      <c r="Q2849" s="237"/>
      <c r="AL2849" s="226"/>
      <c r="AM2849" s="226"/>
    </row>
    <row r="2850" spans="1:39" x14ac:dyDescent="0.25">
      <c r="AA2850" s="237"/>
      <c r="AB2850" s="237"/>
      <c r="AC2850" s="237"/>
      <c r="AD2850" s="237"/>
      <c r="AE2850" s="237"/>
      <c r="AF2850" s="237"/>
      <c r="AG2850" s="237"/>
      <c r="AH2850" s="237"/>
      <c r="AJ2850" s="238"/>
    </row>
    <row r="2851" spans="1:39" x14ac:dyDescent="0.25">
      <c r="AA2851" s="237"/>
      <c r="AB2851" s="237"/>
      <c r="AC2851" s="237"/>
      <c r="AD2851" s="237"/>
      <c r="AE2851" s="237"/>
      <c r="AF2851" s="237"/>
      <c r="AG2851" s="237"/>
      <c r="AH2851" s="237"/>
      <c r="AJ2851" s="238"/>
    </row>
    <row r="2852" spans="1:39" ht="12.75" x14ac:dyDescent="0.2">
      <c r="AL2852" s="226"/>
      <c r="AM2852" s="226"/>
    </row>
    <row r="2853" spans="1:39" ht="12.75" x14ac:dyDescent="0.2">
      <c r="A2853" s="236"/>
      <c r="B2853" s="236"/>
      <c r="C2853" s="236"/>
      <c r="D2853" s="236"/>
      <c r="E2853" s="237"/>
      <c r="G2853" s="237"/>
      <c r="H2853" s="237"/>
      <c r="I2853" s="237"/>
      <c r="K2853" s="237"/>
      <c r="N2853" s="237"/>
      <c r="O2853" s="237"/>
      <c r="P2853" s="237"/>
      <c r="Q2853" s="237"/>
      <c r="AL2853" s="226"/>
      <c r="AM2853" s="226"/>
    </row>
    <row r="2854" spans="1:39" x14ac:dyDescent="0.25">
      <c r="AA2854" s="237"/>
      <c r="AB2854" s="237"/>
      <c r="AC2854" s="237"/>
      <c r="AD2854" s="237"/>
      <c r="AE2854" s="237"/>
      <c r="AF2854" s="237"/>
      <c r="AG2854" s="237"/>
      <c r="AH2854" s="237"/>
      <c r="AJ2854" s="238"/>
    </row>
    <row r="2855" spans="1:39" ht="12.75" x14ac:dyDescent="0.2">
      <c r="AL2855" s="226"/>
      <c r="AM2855" s="226"/>
    </row>
    <row r="2856" spans="1:39" ht="12.75" x14ac:dyDescent="0.2">
      <c r="A2856" s="236"/>
      <c r="B2856" s="236"/>
      <c r="C2856" s="236"/>
      <c r="D2856" s="236"/>
      <c r="E2856" s="237"/>
      <c r="G2856" s="237"/>
      <c r="H2856" s="237"/>
      <c r="I2856" s="237"/>
      <c r="K2856" s="237"/>
      <c r="N2856" s="237"/>
      <c r="O2856" s="237"/>
      <c r="P2856" s="237"/>
      <c r="Q2856" s="237"/>
      <c r="AL2856" s="226"/>
      <c r="AM2856" s="226"/>
    </row>
    <row r="2857" spans="1:39" x14ac:dyDescent="0.25">
      <c r="AA2857" s="237"/>
      <c r="AB2857" s="237"/>
      <c r="AC2857" s="237"/>
      <c r="AD2857" s="237"/>
      <c r="AE2857" s="237"/>
      <c r="AF2857" s="237"/>
      <c r="AG2857" s="237"/>
      <c r="AH2857" s="237"/>
      <c r="AJ2857" s="238"/>
    </row>
    <row r="2858" spans="1:39" x14ac:dyDescent="0.25">
      <c r="AA2858" s="237"/>
      <c r="AB2858" s="237"/>
      <c r="AC2858" s="237"/>
      <c r="AD2858" s="237"/>
      <c r="AE2858" s="237"/>
      <c r="AF2858" s="237"/>
      <c r="AG2858" s="237"/>
      <c r="AH2858" s="237"/>
      <c r="AJ2858" s="238"/>
    </row>
    <row r="2859" spans="1:39" ht="12.75" x14ac:dyDescent="0.2">
      <c r="AL2859" s="226"/>
      <c r="AM2859" s="226"/>
    </row>
    <row r="2860" spans="1:39" ht="12.75" x14ac:dyDescent="0.2">
      <c r="A2860" s="236"/>
      <c r="B2860" s="236"/>
      <c r="C2860" s="236"/>
      <c r="D2860" s="236"/>
      <c r="E2860" s="237"/>
      <c r="G2860" s="237"/>
      <c r="H2860" s="237"/>
      <c r="I2860" s="237"/>
      <c r="K2860" s="237"/>
      <c r="N2860" s="237"/>
      <c r="O2860" s="237"/>
      <c r="P2860" s="237"/>
      <c r="Q2860" s="237"/>
      <c r="AL2860" s="226"/>
      <c r="AM2860" s="226"/>
    </row>
    <row r="2861" spans="1:39" x14ac:dyDescent="0.25">
      <c r="AA2861" s="237"/>
      <c r="AB2861" s="237"/>
      <c r="AC2861" s="237"/>
      <c r="AD2861" s="237"/>
      <c r="AE2861" s="237"/>
      <c r="AF2861" s="237"/>
      <c r="AG2861" s="237"/>
      <c r="AH2861" s="237"/>
      <c r="AJ2861" s="238"/>
    </row>
    <row r="2862" spans="1:39" x14ac:dyDescent="0.25">
      <c r="AA2862" s="237"/>
      <c r="AB2862" s="237"/>
      <c r="AC2862" s="237"/>
      <c r="AD2862" s="237"/>
      <c r="AE2862" s="237"/>
      <c r="AF2862" s="237"/>
      <c r="AG2862" s="237"/>
      <c r="AH2862" s="237"/>
      <c r="AJ2862" s="238"/>
    </row>
    <row r="2863" spans="1:39" x14ac:dyDescent="0.25">
      <c r="AA2863" s="237"/>
      <c r="AB2863" s="237"/>
      <c r="AC2863" s="237"/>
      <c r="AD2863" s="237"/>
      <c r="AE2863" s="237"/>
      <c r="AF2863" s="237"/>
      <c r="AG2863" s="237"/>
      <c r="AH2863" s="237"/>
      <c r="AJ2863" s="238"/>
    </row>
    <row r="2864" spans="1:39" x14ac:dyDescent="0.25">
      <c r="AA2864" s="237"/>
      <c r="AB2864" s="237"/>
      <c r="AC2864" s="237"/>
      <c r="AD2864" s="237"/>
      <c r="AE2864" s="237"/>
      <c r="AF2864" s="237"/>
      <c r="AG2864" s="237"/>
      <c r="AH2864" s="237"/>
      <c r="AJ2864" s="238"/>
    </row>
    <row r="2865" spans="1:39" x14ac:dyDescent="0.25">
      <c r="AA2865" s="237"/>
      <c r="AB2865" s="237"/>
      <c r="AC2865" s="237"/>
      <c r="AD2865" s="237"/>
      <c r="AE2865" s="237"/>
      <c r="AF2865" s="237"/>
      <c r="AG2865" s="237"/>
      <c r="AH2865" s="237"/>
      <c r="AJ2865" s="238"/>
    </row>
    <row r="2866" spans="1:39" ht="12.75" x14ac:dyDescent="0.2">
      <c r="AL2866" s="226"/>
      <c r="AM2866" s="226"/>
    </row>
    <row r="2867" spans="1:39" ht="12.75" x14ac:dyDescent="0.2">
      <c r="A2867" s="236"/>
      <c r="B2867" s="236"/>
      <c r="C2867" s="236"/>
      <c r="D2867" s="236"/>
      <c r="E2867" s="237"/>
      <c r="G2867" s="237"/>
      <c r="H2867" s="237"/>
      <c r="I2867" s="237"/>
      <c r="K2867" s="237"/>
      <c r="N2867" s="237"/>
      <c r="O2867" s="237"/>
      <c r="P2867" s="237"/>
      <c r="Q2867" s="237"/>
      <c r="AL2867" s="226"/>
      <c r="AM2867" s="226"/>
    </row>
    <row r="2868" spans="1:39" x14ac:dyDescent="0.25">
      <c r="AA2868" s="237"/>
      <c r="AB2868" s="237"/>
      <c r="AC2868" s="237"/>
      <c r="AD2868" s="237"/>
      <c r="AE2868" s="237"/>
      <c r="AF2868" s="237"/>
      <c r="AG2868" s="237"/>
      <c r="AH2868" s="237"/>
      <c r="AJ2868" s="238"/>
    </row>
    <row r="2869" spans="1:39" x14ac:dyDescent="0.25">
      <c r="AA2869" s="237"/>
      <c r="AB2869" s="237"/>
      <c r="AC2869" s="237"/>
      <c r="AD2869" s="237"/>
      <c r="AE2869" s="237"/>
      <c r="AF2869" s="237"/>
      <c r="AG2869" s="237"/>
      <c r="AH2869" s="237"/>
      <c r="AJ2869" s="238"/>
    </row>
    <row r="2870" spans="1:39" ht="12.75" x14ac:dyDescent="0.2">
      <c r="AL2870" s="226"/>
      <c r="AM2870" s="226"/>
    </row>
    <row r="2871" spans="1:39" ht="12.75" x14ac:dyDescent="0.2">
      <c r="A2871" s="236"/>
      <c r="B2871" s="236"/>
      <c r="C2871" s="236"/>
      <c r="D2871" s="236"/>
      <c r="E2871" s="237"/>
      <c r="G2871" s="237"/>
      <c r="H2871" s="237"/>
      <c r="I2871" s="237"/>
      <c r="K2871" s="237"/>
      <c r="N2871" s="237"/>
      <c r="O2871" s="237"/>
      <c r="P2871" s="237"/>
      <c r="Q2871" s="237"/>
      <c r="AL2871" s="226"/>
      <c r="AM2871" s="226"/>
    </row>
    <row r="2872" spans="1:39" x14ac:dyDescent="0.25">
      <c r="AA2872" s="237"/>
      <c r="AB2872" s="237"/>
      <c r="AC2872" s="237"/>
      <c r="AD2872" s="237"/>
      <c r="AE2872" s="237"/>
      <c r="AF2872" s="237"/>
      <c r="AG2872" s="237"/>
      <c r="AH2872" s="237"/>
      <c r="AJ2872" s="238"/>
    </row>
    <row r="2873" spans="1:39" x14ac:dyDescent="0.25">
      <c r="AA2873" s="237"/>
      <c r="AB2873" s="237"/>
      <c r="AC2873" s="237"/>
      <c r="AD2873" s="237"/>
      <c r="AE2873" s="237"/>
      <c r="AF2873" s="237"/>
      <c r="AG2873" s="237"/>
      <c r="AH2873" s="237"/>
      <c r="AJ2873" s="238"/>
    </row>
    <row r="2874" spans="1:39" x14ac:dyDescent="0.25">
      <c r="AA2874" s="237"/>
      <c r="AB2874" s="237"/>
      <c r="AC2874" s="237"/>
      <c r="AD2874" s="237"/>
      <c r="AE2874" s="237"/>
      <c r="AF2874" s="237"/>
      <c r="AG2874" s="237"/>
      <c r="AH2874" s="237"/>
      <c r="AJ2874" s="238"/>
    </row>
    <row r="2875" spans="1:39" x14ac:dyDescent="0.25">
      <c r="AA2875" s="237"/>
      <c r="AB2875" s="237"/>
      <c r="AC2875" s="237"/>
      <c r="AD2875" s="237"/>
      <c r="AE2875" s="237"/>
      <c r="AF2875" s="237"/>
      <c r="AG2875" s="237"/>
      <c r="AH2875" s="237"/>
      <c r="AJ2875" s="238"/>
    </row>
    <row r="2876" spans="1:39" x14ac:dyDescent="0.25">
      <c r="AA2876" s="237"/>
      <c r="AB2876" s="237"/>
      <c r="AC2876" s="237"/>
      <c r="AD2876" s="237"/>
      <c r="AE2876" s="237"/>
      <c r="AF2876" s="237"/>
      <c r="AG2876" s="237"/>
      <c r="AH2876" s="237"/>
      <c r="AJ2876" s="238"/>
    </row>
    <row r="2877" spans="1:39" ht="12.75" x14ac:dyDescent="0.2">
      <c r="AL2877" s="226"/>
      <c r="AM2877" s="226"/>
    </row>
    <row r="2878" spans="1:39" ht="12.75" x14ac:dyDescent="0.2">
      <c r="A2878" s="236"/>
      <c r="B2878" s="236"/>
      <c r="C2878" s="236"/>
      <c r="D2878" s="236"/>
      <c r="E2878" s="237"/>
      <c r="G2878" s="237"/>
      <c r="H2878" s="237"/>
      <c r="I2878" s="237"/>
      <c r="K2878" s="237"/>
      <c r="N2878" s="237"/>
      <c r="O2878" s="237"/>
      <c r="P2878" s="237"/>
      <c r="Q2878" s="237"/>
      <c r="AL2878" s="226"/>
      <c r="AM2878" s="226"/>
    </row>
    <row r="2879" spans="1:39" x14ac:dyDescent="0.25">
      <c r="AA2879" s="237"/>
      <c r="AB2879" s="237"/>
      <c r="AC2879" s="237"/>
      <c r="AD2879" s="237"/>
      <c r="AE2879" s="237"/>
      <c r="AF2879" s="237"/>
      <c r="AG2879" s="237"/>
      <c r="AH2879" s="237"/>
      <c r="AJ2879" s="238"/>
    </row>
    <row r="2880" spans="1:39" x14ac:dyDescent="0.25">
      <c r="AA2880" s="237"/>
      <c r="AB2880" s="237"/>
      <c r="AC2880" s="237"/>
      <c r="AD2880" s="237"/>
      <c r="AE2880" s="237"/>
      <c r="AF2880" s="237"/>
      <c r="AG2880" s="237"/>
      <c r="AH2880" s="237"/>
      <c r="AJ2880" s="238"/>
    </row>
    <row r="2881" spans="1:39" ht="12.75" x14ac:dyDescent="0.2">
      <c r="AL2881" s="226"/>
      <c r="AM2881" s="226"/>
    </row>
    <row r="2882" spans="1:39" ht="12.75" x14ac:dyDescent="0.2">
      <c r="A2882" s="236"/>
      <c r="B2882" s="236"/>
      <c r="C2882" s="236"/>
      <c r="D2882" s="236"/>
      <c r="E2882" s="237"/>
      <c r="G2882" s="237"/>
      <c r="H2882" s="237"/>
      <c r="I2882" s="237"/>
      <c r="K2882" s="237"/>
      <c r="N2882" s="237"/>
      <c r="O2882" s="237"/>
      <c r="P2882" s="237"/>
      <c r="Q2882" s="237"/>
      <c r="AL2882" s="226"/>
      <c r="AM2882" s="226"/>
    </row>
    <row r="2883" spans="1:39" x14ac:dyDescent="0.25">
      <c r="AA2883" s="237"/>
      <c r="AB2883" s="237"/>
      <c r="AC2883" s="237"/>
      <c r="AD2883" s="237"/>
      <c r="AE2883" s="237"/>
      <c r="AF2883" s="237"/>
      <c r="AG2883" s="237"/>
      <c r="AH2883" s="237"/>
      <c r="AJ2883" s="238"/>
    </row>
    <row r="2884" spans="1:39" x14ac:dyDescent="0.25">
      <c r="AA2884" s="237"/>
      <c r="AB2884" s="237"/>
      <c r="AC2884" s="237"/>
      <c r="AD2884" s="237"/>
      <c r="AE2884" s="237"/>
      <c r="AF2884" s="237"/>
      <c r="AG2884" s="237"/>
      <c r="AH2884" s="237"/>
      <c r="AJ2884" s="238"/>
    </row>
    <row r="2885" spans="1:39" x14ac:dyDescent="0.25">
      <c r="AA2885" s="237"/>
      <c r="AB2885" s="237"/>
      <c r="AC2885" s="237"/>
      <c r="AD2885" s="237"/>
      <c r="AE2885" s="237"/>
      <c r="AF2885" s="237"/>
      <c r="AG2885" s="237"/>
      <c r="AH2885" s="237"/>
      <c r="AJ2885" s="238"/>
    </row>
    <row r="2886" spans="1:39" x14ac:dyDescent="0.25">
      <c r="AA2886" s="237"/>
      <c r="AB2886" s="237"/>
      <c r="AC2886" s="237"/>
      <c r="AD2886" s="237"/>
      <c r="AE2886" s="237"/>
      <c r="AF2886" s="237"/>
      <c r="AG2886" s="237"/>
      <c r="AH2886" s="237"/>
      <c r="AJ2886" s="238"/>
    </row>
    <row r="2887" spans="1:39" x14ac:dyDescent="0.25">
      <c r="AA2887" s="237"/>
      <c r="AB2887" s="237"/>
      <c r="AC2887" s="237"/>
      <c r="AD2887" s="237"/>
      <c r="AE2887" s="237"/>
      <c r="AF2887" s="237"/>
      <c r="AG2887" s="237"/>
      <c r="AH2887" s="237"/>
      <c r="AJ2887" s="238"/>
    </row>
    <row r="2888" spans="1:39" x14ac:dyDescent="0.25">
      <c r="AA2888" s="237"/>
      <c r="AB2888" s="237"/>
      <c r="AC2888" s="237"/>
      <c r="AD2888" s="237"/>
      <c r="AE2888" s="237"/>
      <c r="AF2888" s="237"/>
      <c r="AG2888" s="237"/>
      <c r="AH2888" s="237"/>
      <c r="AJ2888" s="238"/>
    </row>
    <row r="2889" spans="1:39" x14ac:dyDescent="0.25">
      <c r="AA2889" s="237"/>
      <c r="AB2889" s="237"/>
      <c r="AC2889" s="237"/>
      <c r="AD2889" s="237"/>
      <c r="AE2889" s="237"/>
      <c r="AF2889" s="237"/>
      <c r="AG2889" s="237"/>
      <c r="AH2889" s="237"/>
      <c r="AJ2889" s="238"/>
    </row>
    <row r="2890" spans="1:39" x14ac:dyDescent="0.25">
      <c r="AA2890" s="237"/>
      <c r="AB2890" s="237"/>
      <c r="AC2890" s="237"/>
      <c r="AD2890" s="237"/>
      <c r="AE2890" s="237"/>
      <c r="AF2890" s="237"/>
      <c r="AG2890" s="237"/>
      <c r="AH2890" s="237"/>
      <c r="AJ2890" s="238"/>
    </row>
    <row r="2891" spans="1:39" x14ac:dyDescent="0.25">
      <c r="AA2891" s="237"/>
      <c r="AB2891" s="237"/>
      <c r="AC2891" s="237"/>
      <c r="AD2891" s="237"/>
      <c r="AE2891" s="237"/>
      <c r="AF2891" s="237"/>
      <c r="AG2891" s="237"/>
      <c r="AH2891" s="237"/>
      <c r="AJ2891" s="238"/>
    </row>
    <row r="2892" spans="1:39" x14ac:dyDescent="0.25">
      <c r="AA2892" s="237"/>
      <c r="AB2892" s="237"/>
      <c r="AC2892" s="237"/>
      <c r="AD2892" s="237"/>
      <c r="AE2892" s="237"/>
      <c r="AF2892" s="237"/>
      <c r="AG2892" s="237"/>
      <c r="AH2892" s="237"/>
      <c r="AJ2892" s="238"/>
    </row>
    <row r="2893" spans="1:39" x14ac:dyDescent="0.25">
      <c r="AA2893" s="237"/>
      <c r="AB2893" s="237"/>
      <c r="AC2893" s="237"/>
      <c r="AD2893" s="237"/>
      <c r="AE2893" s="237"/>
      <c r="AF2893" s="237"/>
      <c r="AG2893" s="237"/>
      <c r="AH2893" s="237"/>
      <c r="AJ2893" s="238"/>
    </row>
    <row r="2894" spans="1:39" x14ac:dyDescent="0.25">
      <c r="AA2894" s="237"/>
      <c r="AB2894" s="237"/>
      <c r="AC2894" s="237"/>
      <c r="AD2894" s="237"/>
      <c r="AE2894" s="237"/>
      <c r="AF2894" s="237"/>
      <c r="AG2894" s="237"/>
      <c r="AH2894" s="237"/>
      <c r="AJ2894" s="238"/>
    </row>
    <row r="2895" spans="1:39" x14ac:dyDescent="0.25">
      <c r="AA2895" s="237"/>
      <c r="AB2895" s="237"/>
      <c r="AC2895" s="237"/>
      <c r="AD2895" s="237"/>
      <c r="AE2895" s="237"/>
      <c r="AF2895" s="237"/>
      <c r="AG2895" s="237"/>
      <c r="AH2895" s="237"/>
      <c r="AJ2895" s="238"/>
    </row>
    <row r="2896" spans="1:39" x14ac:dyDescent="0.25">
      <c r="AA2896" s="237"/>
      <c r="AB2896" s="237"/>
      <c r="AC2896" s="237"/>
      <c r="AD2896" s="237"/>
      <c r="AE2896" s="237"/>
      <c r="AF2896" s="237"/>
      <c r="AG2896" s="237"/>
      <c r="AH2896" s="237"/>
      <c r="AJ2896" s="238"/>
    </row>
    <row r="2897" spans="1:39" x14ac:dyDescent="0.25">
      <c r="AA2897" s="237"/>
      <c r="AB2897" s="237"/>
      <c r="AC2897" s="237"/>
      <c r="AD2897" s="237"/>
      <c r="AE2897" s="237"/>
      <c r="AF2897" s="237"/>
      <c r="AG2897" s="237"/>
      <c r="AH2897" s="237"/>
      <c r="AJ2897" s="238"/>
    </row>
    <row r="2898" spans="1:39" x14ac:dyDescent="0.25">
      <c r="AA2898" s="237"/>
      <c r="AB2898" s="237"/>
      <c r="AC2898" s="237"/>
      <c r="AD2898" s="237"/>
      <c r="AE2898" s="237"/>
      <c r="AF2898" s="237"/>
      <c r="AG2898" s="237"/>
      <c r="AH2898" s="237"/>
      <c r="AJ2898" s="238"/>
    </row>
    <row r="2899" spans="1:39" x14ac:dyDescent="0.25">
      <c r="AA2899" s="237"/>
      <c r="AB2899" s="237"/>
      <c r="AC2899" s="237"/>
      <c r="AD2899" s="237"/>
      <c r="AE2899" s="237"/>
      <c r="AF2899" s="237"/>
      <c r="AG2899" s="237"/>
      <c r="AH2899" s="237"/>
      <c r="AJ2899" s="238"/>
    </row>
    <row r="2900" spans="1:39" ht="12.75" x14ac:dyDescent="0.2">
      <c r="AL2900" s="226"/>
      <c r="AM2900" s="226"/>
    </row>
    <row r="2901" spans="1:39" ht="12.75" x14ac:dyDescent="0.2">
      <c r="A2901" s="236"/>
      <c r="B2901" s="236"/>
      <c r="C2901" s="236"/>
      <c r="D2901" s="236"/>
      <c r="E2901" s="237"/>
      <c r="G2901" s="237"/>
      <c r="H2901" s="237"/>
      <c r="I2901" s="237"/>
      <c r="K2901" s="237"/>
      <c r="N2901" s="237"/>
      <c r="O2901" s="237"/>
      <c r="P2901" s="237"/>
      <c r="Q2901" s="237"/>
      <c r="AL2901" s="226"/>
      <c r="AM2901" s="226"/>
    </row>
    <row r="2902" spans="1:39" x14ac:dyDescent="0.25">
      <c r="AA2902" s="237"/>
      <c r="AB2902" s="237"/>
      <c r="AC2902" s="237"/>
      <c r="AD2902" s="237"/>
      <c r="AE2902" s="237"/>
      <c r="AF2902" s="237"/>
      <c r="AG2902" s="237"/>
      <c r="AH2902" s="237"/>
      <c r="AJ2902" s="238"/>
    </row>
    <row r="2903" spans="1:39" x14ac:dyDescent="0.25">
      <c r="AA2903" s="237"/>
      <c r="AB2903" s="237"/>
      <c r="AC2903" s="237"/>
      <c r="AD2903" s="237"/>
      <c r="AE2903" s="237"/>
      <c r="AF2903" s="237"/>
      <c r="AG2903" s="237"/>
      <c r="AH2903" s="237"/>
      <c r="AJ2903" s="238"/>
    </row>
    <row r="2904" spans="1:39" x14ac:dyDescent="0.25">
      <c r="AA2904" s="237"/>
      <c r="AB2904" s="237"/>
      <c r="AC2904" s="237"/>
      <c r="AD2904" s="237"/>
      <c r="AE2904" s="237"/>
      <c r="AF2904" s="237"/>
      <c r="AG2904" s="237"/>
      <c r="AH2904" s="237"/>
      <c r="AJ2904" s="238"/>
    </row>
    <row r="2905" spans="1:39" x14ac:dyDescent="0.25">
      <c r="AA2905" s="237"/>
      <c r="AB2905" s="237"/>
      <c r="AC2905" s="237"/>
      <c r="AD2905" s="237"/>
      <c r="AE2905" s="237"/>
      <c r="AF2905" s="237"/>
      <c r="AG2905" s="237"/>
      <c r="AH2905" s="237"/>
      <c r="AJ2905" s="238"/>
    </row>
    <row r="2906" spans="1:39" x14ac:dyDescent="0.25">
      <c r="AA2906" s="237"/>
      <c r="AB2906" s="237"/>
      <c r="AC2906" s="237"/>
      <c r="AD2906" s="237"/>
      <c r="AE2906" s="237"/>
      <c r="AF2906" s="237"/>
      <c r="AG2906" s="237"/>
      <c r="AH2906" s="237"/>
      <c r="AJ2906" s="238"/>
    </row>
    <row r="2907" spans="1:39" x14ac:dyDescent="0.25">
      <c r="AA2907" s="237"/>
      <c r="AB2907" s="237"/>
      <c r="AC2907" s="237"/>
      <c r="AD2907" s="237"/>
      <c r="AE2907" s="237"/>
      <c r="AF2907" s="237"/>
      <c r="AG2907" s="237"/>
      <c r="AH2907" s="237"/>
      <c r="AJ2907" s="238"/>
    </row>
    <row r="2908" spans="1:39" x14ac:dyDescent="0.25">
      <c r="AA2908" s="237"/>
      <c r="AB2908" s="237"/>
      <c r="AC2908" s="237"/>
      <c r="AD2908" s="237"/>
      <c r="AE2908" s="237"/>
      <c r="AF2908" s="237"/>
      <c r="AG2908" s="237"/>
      <c r="AH2908" s="237"/>
      <c r="AJ2908" s="238"/>
    </row>
    <row r="2909" spans="1:39" x14ac:dyDescent="0.25">
      <c r="AA2909" s="237"/>
      <c r="AB2909" s="237"/>
      <c r="AC2909" s="237"/>
      <c r="AD2909" s="237"/>
      <c r="AE2909" s="237"/>
      <c r="AF2909" s="237"/>
      <c r="AG2909" s="237"/>
      <c r="AH2909" s="237"/>
      <c r="AJ2909" s="238"/>
    </row>
    <row r="2910" spans="1:39" x14ac:dyDescent="0.25">
      <c r="AA2910" s="237"/>
      <c r="AB2910" s="237"/>
      <c r="AC2910" s="237"/>
      <c r="AD2910" s="237"/>
      <c r="AE2910" s="237"/>
      <c r="AF2910" s="237"/>
      <c r="AG2910" s="237"/>
      <c r="AH2910" s="237"/>
      <c r="AJ2910" s="238"/>
    </row>
    <row r="2911" spans="1:39" x14ac:dyDescent="0.25">
      <c r="AA2911" s="237"/>
      <c r="AB2911" s="237"/>
      <c r="AC2911" s="237"/>
      <c r="AD2911" s="237"/>
      <c r="AE2911" s="237"/>
      <c r="AF2911" s="237"/>
      <c r="AG2911" s="237"/>
      <c r="AH2911" s="237"/>
      <c r="AJ2911" s="238"/>
    </row>
    <row r="2912" spans="1:39" x14ac:dyDescent="0.25">
      <c r="AA2912" s="237"/>
      <c r="AB2912" s="237"/>
      <c r="AC2912" s="237"/>
      <c r="AD2912" s="237"/>
      <c r="AE2912" s="237"/>
      <c r="AF2912" s="237"/>
      <c r="AG2912" s="237"/>
      <c r="AH2912" s="237"/>
      <c r="AJ2912" s="238"/>
    </row>
    <row r="2913" spans="1:39" x14ac:dyDescent="0.25">
      <c r="AA2913" s="237"/>
      <c r="AB2913" s="237"/>
      <c r="AC2913" s="237"/>
      <c r="AD2913" s="237"/>
      <c r="AE2913" s="237"/>
      <c r="AF2913" s="237"/>
      <c r="AG2913" s="237"/>
      <c r="AH2913" s="237"/>
      <c r="AJ2913" s="238"/>
    </row>
    <row r="2914" spans="1:39" x14ac:dyDescent="0.25">
      <c r="AA2914" s="237"/>
      <c r="AB2914" s="237"/>
      <c r="AC2914" s="237"/>
      <c r="AD2914" s="237"/>
      <c r="AE2914" s="237"/>
      <c r="AF2914" s="237"/>
      <c r="AG2914" s="237"/>
      <c r="AH2914" s="237"/>
      <c r="AJ2914" s="238"/>
    </row>
    <row r="2915" spans="1:39" x14ac:dyDescent="0.25">
      <c r="AA2915" s="237"/>
      <c r="AB2915" s="237"/>
      <c r="AC2915" s="237"/>
      <c r="AD2915" s="237"/>
      <c r="AE2915" s="237"/>
      <c r="AF2915" s="237"/>
      <c r="AG2915" s="237"/>
      <c r="AH2915" s="237"/>
      <c r="AJ2915" s="238"/>
    </row>
    <row r="2916" spans="1:39" x14ac:dyDescent="0.25">
      <c r="AA2916" s="237"/>
      <c r="AB2916" s="237"/>
      <c r="AC2916" s="237"/>
      <c r="AD2916" s="237"/>
      <c r="AE2916" s="237"/>
      <c r="AF2916" s="237"/>
      <c r="AG2916" s="237"/>
      <c r="AH2916" s="237"/>
      <c r="AJ2916" s="238"/>
    </row>
    <row r="2917" spans="1:39" x14ac:dyDescent="0.25">
      <c r="AA2917" s="237"/>
      <c r="AB2917" s="237"/>
      <c r="AC2917" s="237"/>
      <c r="AD2917" s="237"/>
      <c r="AE2917" s="237"/>
      <c r="AF2917" s="237"/>
      <c r="AG2917" s="237"/>
      <c r="AH2917" s="237"/>
      <c r="AJ2917" s="238"/>
    </row>
    <row r="2918" spans="1:39" x14ac:dyDescent="0.25">
      <c r="AA2918" s="237"/>
      <c r="AB2918" s="237"/>
      <c r="AC2918" s="237"/>
      <c r="AD2918" s="237"/>
      <c r="AE2918" s="237"/>
      <c r="AF2918" s="237"/>
      <c r="AG2918" s="237"/>
      <c r="AH2918" s="237"/>
      <c r="AJ2918" s="238"/>
    </row>
    <row r="2919" spans="1:39" x14ac:dyDescent="0.25">
      <c r="AA2919" s="237"/>
      <c r="AB2919" s="237"/>
      <c r="AC2919" s="237"/>
      <c r="AD2919" s="237"/>
      <c r="AE2919" s="237"/>
      <c r="AF2919" s="237"/>
      <c r="AG2919" s="237"/>
      <c r="AH2919" s="237"/>
      <c r="AJ2919" s="238"/>
    </row>
    <row r="2920" spans="1:39" x14ac:dyDescent="0.25">
      <c r="AA2920" s="237"/>
      <c r="AB2920" s="237"/>
      <c r="AC2920" s="237"/>
      <c r="AD2920" s="237"/>
      <c r="AE2920" s="237"/>
      <c r="AF2920" s="237"/>
      <c r="AG2920" s="237"/>
      <c r="AH2920" s="237"/>
      <c r="AJ2920" s="238"/>
    </row>
    <row r="2921" spans="1:39" ht="12.75" x14ac:dyDescent="0.2">
      <c r="AL2921" s="226"/>
      <c r="AM2921" s="226"/>
    </row>
    <row r="2922" spans="1:39" ht="12.75" x14ac:dyDescent="0.2">
      <c r="A2922" s="236"/>
      <c r="B2922" s="236"/>
      <c r="C2922" s="236"/>
      <c r="D2922" s="236"/>
      <c r="E2922" s="237"/>
      <c r="G2922" s="237"/>
      <c r="H2922" s="237"/>
      <c r="I2922" s="237"/>
      <c r="K2922" s="237"/>
      <c r="N2922" s="237"/>
      <c r="O2922" s="237"/>
      <c r="P2922" s="237"/>
      <c r="Q2922" s="237"/>
      <c r="AL2922" s="226"/>
      <c r="AM2922" s="226"/>
    </row>
    <row r="2923" spans="1:39" x14ac:dyDescent="0.25">
      <c r="AA2923" s="237"/>
      <c r="AB2923" s="237"/>
      <c r="AC2923" s="237"/>
      <c r="AD2923" s="237"/>
      <c r="AE2923" s="237"/>
      <c r="AF2923" s="237"/>
      <c r="AG2923" s="237"/>
      <c r="AH2923" s="237"/>
      <c r="AJ2923" s="238"/>
    </row>
    <row r="2924" spans="1:39" x14ac:dyDescent="0.25">
      <c r="AA2924" s="237"/>
      <c r="AB2924" s="237"/>
      <c r="AC2924" s="237"/>
      <c r="AD2924" s="237"/>
      <c r="AE2924" s="237"/>
      <c r="AF2924" s="237"/>
      <c r="AG2924" s="237"/>
      <c r="AH2924" s="237"/>
      <c r="AJ2924" s="238"/>
    </row>
    <row r="2925" spans="1:39" x14ac:dyDescent="0.25">
      <c r="AA2925" s="237"/>
      <c r="AB2925" s="237"/>
      <c r="AC2925" s="237"/>
      <c r="AD2925" s="237"/>
      <c r="AE2925" s="237"/>
      <c r="AF2925" s="237"/>
      <c r="AG2925" s="237"/>
      <c r="AH2925" s="237"/>
      <c r="AJ2925" s="238"/>
    </row>
    <row r="2926" spans="1:39" ht="12.75" x14ac:dyDescent="0.2">
      <c r="AL2926" s="226"/>
      <c r="AM2926" s="226"/>
    </row>
    <row r="2927" spans="1:39" ht="12.75" x14ac:dyDescent="0.2">
      <c r="A2927" s="236"/>
      <c r="B2927" s="236"/>
      <c r="C2927" s="236"/>
      <c r="D2927" s="236"/>
      <c r="E2927" s="237"/>
      <c r="G2927" s="237"/>
      <c r="H2927" s="237"/>
      <c r="I2927" s="237"/>
      <c r="K2927" s="237"/>
      <c r="N2927" s="237"/>
      <c r="O2927" s="237"/>
      <c r="P2927" s="237"/>
      <c r="Q2927" s="237"/>
      <c r="AL2927" s="226"/>
      <c r="AM2927" s="226"/>
    </row>
    <row r="2928" spans="1:39" x14ac:dyDescent="0.25">
      <c r="AA2928" s="237"/>
      <c r="AB2928" s="237"/>
      <c r="AC2928" s="237"/>
      <c r="AD2928" s="237"/>
      <c r="AE2928" s="237"/>
      <c r="AF2928" s="237"/>
      <c r="AG2928" s="237"/>
      <c r="AH2928" s="237"/>
      <c r="AJ2928" s="238"/>
    </row>
    <row r="2929" spans="1:39" x14ac:dyDescent="0.25">
      <c r="AA2929" s="237"/>
      <c r="AB2929" s="237"/>
      <c r="AC2929" s="237"/>
      <c r="AD2929" s="237"/>
      <c r="AE2929" s="237"/>
      <c r="AF2929" s="237"/>
      <c r="AG2929" s="237"/>
      <c r="AH2929" s="237"/>
      <c r="AJ2929" s="238"/>
    </row>
    <row r="2930" spans="1:39" x14ac:dyDescent="0.25">
      <c r="AA2930" s="237"/>
      <c r="AB2930" s="237"/>
      <c r="AC2930" s="237"/>
      <c r="AD2930" s="237"/>
      <c r="AE2930" s="237"/>
      <c r="AF2930" s="237"/>
      <c r="AG2930" s="237"/>
      <c r="AH2930" s="237"/>
      <c r="AJ2930" s="238"/>
    </row>
    <row r="2931" spans="1:39" x14ac:dyDescent="0.25">
      <c r="AA2931" s="237"/>
      <c r="AB2931" s="237"/>
      <c r="AC2931" s="237"/>
      <c r="AD2931" s="237"/>
      <c r="AE2931" s="237"/>
      <c r="AF2931" s="237"/>
      <c r="AG2931" s="237"/>
      <c r="AH2931" s="237"/>
      <c r="AJ2931" s="238"/>
    </row>
    <row r="2932" spans="1:39" ht="12.75" x14ac:dyDescent="0.2">
      <c r="AL2932" s="226"/>
      <c r="AM2932" s="226"/>
    </row>
    <row r="2933" spans="1:39" ht="12.75" x14ac:dyDescent="0.2">
      <c r="A2933" s="236"/>
      <c r="B2933" s="236"/>
      <c r="C2933" s="236"/>
      <c r="D2933" s="236"/>
      <c r="E2933" s="237"/>
      <c r="G2933" s="237"/>
      <c r="H2933" s="237"/>
      <c r="I2933" s="237"/>
      <c r="K2933" s="237"/>
      <c r="N2933" s="237"/>
      <c r="O2933" s="237"/>
      <c r="P2933" s="237"/>
      <c r="Q2933" s="237"/>
      <c r="AL2933" s="226"/>
      <c r="AM2933" s="226"/>
    </row>
    <row r="2934" spans="1:39" x14ac:dyDescent="0.25">
      <c r="AA2934" s="237"/>
      <c r="AB2934" s="237"/>
      <c r="AC2934" s="237"/>
      <c r="AD2934" s="237"/>
      <c r="AE2934" s="237"/>
      <c r="AF2934" s="237"/>
      <c r="AG2934" s="237"/>
      <c r="AH2934" s="237"/>
      <c r="AJ2934" s="238"/>
    </row>
    <row r="2935" spans="1:39" ht="12.75" x14ac:dyDescent="0.2">
      <c r="AL2935" s="226"/>
      <c r="AM2935" s="226"/>
    </row>
    <row r="2936" spans="1:39" ht="12.75" x14ac:dyDescent="0.2">
      <c r="A2936" s="236"/>
      <c r="B2936" s="236"/>
      <c r="C2936" s="236"/>
      <c r="D2936" s="236"/>
      <c r="E2936" s="237"/>
      <c r="G2936" s="237"/>
      <c r="H2936" s="237"/>
      <c r="I2936" s="237"/>
      <c r="K2936" s="237"/>
      <c r="N2936" s="237"/>
      <c r="O2936" s="237"/>
      <c r="P2936" s="237"/>
      <c r="Q2936" s="237"/>
      <c r="AL2936" s="226"/>
      <c r="AM2936" s="226"/>
    </row>
    <row r="2937" spans="1:39" x14ac:dyDescent="0.25">
      <c r="AA2937" s="237"/>
      <c r="AB2937" s="237"/>
      <c r="AC2937" s="237"/>
      <c r="AD2937" s="237"/>
      <c r="AE2937" s="237"/>
      <c r="AF2937" s="237"/>
      <c r="AG2937" s="237"/>
      <c r="AH2937" s="237"/>
      <c r="AJ2937" s="238"/>
    </row>
    <row r="2938" spans="1:39" ht="12.75" x14ac:dyDescent="0.2">
      <c r="AL2938" s="226"/>
      <c r="AM2938" s="226"/>
    </row>
    <row r="2939" spans="1:39" ht="12.75" x14ac:dyDescent="0.2">
      <c r="A2939" s="236"/>
      <c r="B2939" s="236"/>
      <c r="C2939" s="236"/>
      <c r="D2939" s="236"/>
      <c r="E2939" s="237"/>
      <c r="G2939" s="237"/>
      <c r="H2939" s="237"/>
      <c r="I2939" s="237"/>
      <c r="K2939" s="237"/>
      <c r="N2939" s="237"/>
      <c r="O2939" s="237"/>
      <c r="P2939" s="237"/>
      <c r="Q2939" s="237"/>
      <c r="AL2939" s="226"/>
      <c r="AM2939" s="226"/>
    </row>
    <row r="2940" spans="1:39" x14ac:dyDescent="0.25">
      <c r="AA2940" s="237"/>
      <c r="AB2940" s="237"/>
      <c r="AC2940" s="237"/>
      <c r="AD2940" s="237"/>
      <c r="AE2940" s="237"/>
      <c r="AF2940" s="237"/>
      <c r="AG2940" s="237"/>
      <c r="AH2940" s="237"/>
      <c r="AJ2940" s="238"/>
    </row>
    <row r="2941" spans="1:39" ht="12.75" x14ac:dyDescent="0.2">
      <c r="AL2941" s="226"/>
      <c r="AM2941" s="226"/>
    </row>
    <row r="2942" spans="1:39" ht="12.75" x14ac:dyDescent="0.2">
      <c r="A2942" s="236"/>
      <c r="B2942" s="236"/>
      <c r="C2942" s="236"/>
      <c r="D2942" s="236"/>
      <c r="E2942" s="237"/>
      <c r="G2942" s="237"/>
      <c r="H2942" s="237"/>
      <c r="I2942" s="237"/>
      <c r="K2942" s="237"/>
      <c r="N2942" s="237"/>
      <c r="O2942" s="237"/>
      <c r="P2942" s="237"/>
      <c r="Q2942" s="237"/>
      <c r="AL2942" s="226"/>
      <c r="AM2942" s="226"/>
    </row>
    <row r="2943" spans="1:39" x14ac:dyDescent="0.25">
      <c r="AA2943" s="237"/>
      <c r="AB2943" s="237"/>
      <c r="AC2943" s="237"/>
      <c r="AD2943" s="237"/>
      <c r="AE2943" s="237"/>
      <c r="AF2943" s="237"/>
      <c r="AG2943" s="237"/>
      <c r="AH2943" s="237"/>
      <c r="AJ2943" s="238"/>
    </row>
    <row r="2944" spans="1:39" x14ac:dyDescent="0.25">
      <c r="AA2944" s="237"/>
      <c r="AB2944" s="237"/>
      <c r="AC2944" s="237"/>
      <c r="AD2944" s="237"/>
      <c r="AE2944" s="237"/>
      <c r="AF2944" s="237"/>
      <c r="AG2944" s="237"/>
      <c r="AH2944" s="237"/>
      <c r="AJ2944" s="238"/>
    </row>
    <row r="2945" spans="1:39" ht="12.75" x14ac:dyDescent="0.2">
      <c r="AL2945" s="226"/>
      <c r="AM2945" s="226"/>
    </row>
    <row r="2946" spans="1:39" ht="12.75" x14ac:dyDescent="0.2">
      <c r="A2946" s="236"/>
      <c r="B2946" s="236"/>
      <c r="C2946" s="236"/>
      <c r="D2946" s="236"/>
      <c r="E2946" s="237"/>
      <c r="G2946" s="237"/>
      <c r="H2946" s="237"/>
      <c r="I2946" s="237"/>
      <c r="K2946" s="237"/>
      <c r="N2946" s="237"/>
      <c r="O2946" s="237"/>
      <c r="P2946" s="237"/>
      <c r="Q2946" s="237"/>
      <c r="AL2946" s="226"/>
      <c r="AM2946" s="226"/>
    </row>
    <row r="2947" spans="1:39" x14ac:dyDescent="0.25">
      <c r="AA2947" s="237"/>
      <c r="AB2947" s="237"/>
      <c r="AC2947" s="237"/>
      <c r="AD2947" s="237"/>
      <c r="AE2947" s="237"/>
      <c r="AF2947" s="237"/>
      <c r="AG2947" s="237"/>
      <c r="AH2947" s="237"/>
      <c r="AJ2947" s="238"/>
    </row>
    <row r="2948" spans="1:39" x14ac:dyDescent="0.25">
      <c r="AA2948" s="237"/>
      <c r="AB2948" s="237"/>
      <c r="AC2948" s="237"/>
      <c r="AD2948" s="237"/>
      <c r="AE2948" s="237"/>
      <c r="AF2948" s="237"/>
      <c r="AG2948" s="237"/>
      <c r="AH2948" s="237"/>
      <c r="AJ2948" s="238"/>
    </row>
    <row r="2949" spans="1:39" x14ac:dyDescent="0.25">
      <c r="AA2949" s="237"/>
      <c r="AB2949" s="237"/>
      <c r="AC2949" s="237"/>
      <c r="AD2949" s="237"/>
      <c r="AE2949" s="237"/>
      <c r="AF2949" s="237"/>
      <c r="AG2949" s="237"/>
      <c r="AH2949" s="237"/>
      <c r="AJ2949" s="238"/>
    </row>
    <row r="2950" spans="1:39" x14ac:dyDescent="0.25">
      <c r="AA2950" s="237"/>
      <c r="AB2950" s="237"/>
      <c r="AC2950" s="237"/>
      <c r="AD2950" s="237"/>
      <c r="AE2950" s="237"/>
      <c r="AF2950" s="237"/>
      <c r="AG2950" s="237"/>
      <c r="AH2950" s="237"/>
      <c r="AJ2950" s="238"/>
    </row>
    <row r="2951" spans="1:39" ht="12.75" x14ac:dyDescent="0.2">
      <c r="AL2951" s="226"/>
      <c r="AM2951" s="226"/>
    </row>
    <row r="2952" spans="1:39" ht="12.75" x14ac:dyDescent="0.2">
      <c r="A2952" s="236"/>
      <c r="B2952" s="236"/>
      <c r="C2952" s="236"/>
      <c r="D2952" s="236"/>
      <c r="E2952" s="237"/>
      <c r="G2952" s="237"/>
      <c r="H2952" s="237"/>
      <c r="I2952" s="237"/>
      <c r="K2952" s="237"/>
      <c r="N2952" s="237"/>
      <c r="O2952" s="237"/>
      <c r="P2952" s="237"/>
      <c r="Q2952" s="237"/>
      <c r="AL2952" s="226"/>
      <c r="AM2952" s="226"/>
    </row>
    <row r="2953" spans="1:39" x14ac:dyDescent="0.25">
      <c r="AA2953" s="237"/>
      <c r="AB2953" s="237"/>
      <c r="AC2953" s="237"/>
      <c r="AD2953" s="237"/>
      <c r="AE2953" s="237"/>
      <c r="AF2953" s="237"/>
      <c r="AG2953" s="237"/>
      <c r="AH2953" s="237"/>
      <c r="AJ2953" s="238"/>
    </row>
    <row r="2954" spans="1:39" ht="12.75" x14ac:dyDescent="0.2">
      <c r="AL2954" s="226"/>
      <c r="AM2954" s="226"/>
    </row>
    <row r="2955" spans="1:39" ht="12.75" x14ac:dyDescent="0.2">
      <c r="A2955" s="236"/>
      <c r="B2955" s="236"/>
      <c r="C2955" s="236"/>
      <c r="D2955" s="236"/>
      <c r="E2955" s="237"/>
      <c r="G2955" s="237"/>
      <c r="H2955" s="237"/>
      <c r="I2955" s="237"/>
      <c r="K2955" s="237"/>
      <c r="N2955" s="237"/>
      <c r="O2955" s="237"/>
      <c r="P2955" s="237"/>
      <c r="Q2955" s="237"/>
      <c r="AL2955" s="226"/>
      <c r="AM2955" s="226"/>
    </row>
    <row r="2956" spans="1:39" x14ac:dyDescent="0.25">
      <c r="AA2956" s="237"/>
      <c r="AB2956" s="237"/>
      <c r="AC2956" s="237"/>
      <c r="AD2956" s="237"/>
      <c r="AE2956" s="237"/>
      <c r="AF2956" s="237"/>
      <c r="AG2956" s="237"/>
      <c r="AH2956" s="237"/>
      <c r="AJ2956" s="238"/>
    </row>
    <row r="2957" spans="1:39" ht="12.75" x14ac:dyDescent="0.2">
      <c r="AL2957" s="226"/>
      <c r="AM2957" s="226"/>
    </row>
    <row r="2958" spans="1:39" ht="12.75" x14ac:dyDescent="0.2">
      <c r="A2958" s="236"/>
      <c r="B2958" s="236"/>
      <c r="C2958" s="236"/>
      <c r="D2958" s="236"/>
      <c r="E2958" s="237"/>
      <c r="G2958" s="237"/>
      <c r="H2958" s="237"/>
      <c r="I2958" s="237"/>
      <c r="K2958" s="237"/>
      <c r="N2958" s="237"/>
      <c r="O2958" s="237"/>
      <c r="P2958" s="237"/>
      <c r="Q2958" s="237"/>
      <c r="AL2958" s="226"/>
      <c r="AM2958" s="226"/>
    </row>
    <row r="2959" spans="1:39" x14ac:dyDescent="0.25">
      <c r="AA2959" s="237"/>
      <c r="AB2959" s="237"/>
      <c r="AC2959" s="237"/>
      <c r="AD2959" s="237"/>
      <c r="AE2959" s="237"/>
      <c r="AF2959" s="237"/>
      <c r="AG2959" s="237"/>
      <c r="AH2959" s="237"/>
      <c r="AJ2959" s="238"/>
    </row>
    <row r="2960" spans="1:39" ht="12.75" x14ac:dyDescent="0.2">
      <c r="AL2960" s="226"/>
      <c r="AM2960" s="226"/>
    </row>
    <row r="2961" spans="1:39" ht="12.75" x14ac:dyDescent="0.2">
      <c r="A2961" s="236"/>
      <c r="B2961" s="236"/>
      <c r="C2961" s="236"/>
      <c r="D2961" s="236"/>
      <c r="E2961" s="237"/>
      <c r="G2961" s="237"/>
      <c r="H2961" s="237"/>
      <c r="I2961" s="237"/>
      <c r="K2961" s="237"/>
      <c r="N2961" s="237"/>
      <c r="O2961" s="237"/>
      <c r="P2961" s="237"/>
      <c r="Q2961" s="237"/>
      <c r="AL2961" s="226"/>
      <c r="AM2961" s="226"/>
    </row>
    <row r="2962" spans="1:39" x14ac:dyDescent="0.25">
      <c r="AA2962" s="237"/>
      <c r="AB2962" s="237"/>
      <c r="AC2962" s="237"/>
      <c r="AD2962" s="237"/>
      <c r="AE2962" s="237"/>
      <c r="AF2962" s="237"/>
      <c r="AG2962" s="237"/>
      <c r="AH2962" s="237"/>
      <c r="AJ2962" s="238"/>
    </row>
    <row r="2963" spans="1:39" x14ac:dyDescent="0.25">
      <c r="AA2963" s="237"/>
      <c r="AB2963" s="237"/>
      <c r="AC2963" s="237"/>
      <c r="AD2963" s="237"/>
      <c r="AE2963" s="237"/>
      <c r="AF2963" s="237"/>
      <c r="AG2963" s="237"/>
      <c r="AH2963" s="237"/>
      <c r="AJ2963" s="238"/>
    </row>
    <row r="2964" spans="1:39" x14ac:dyDescent="0.25">
      <c r="AA2964" s="237"/>
      <c r="AB2964" s="237"/>
      <c r="AC2964" s="237"/>
      <c r="AD2964" s="237"/>
      <c r="AE2964" s="237"/>
      <c r="AF2964" s="237"/>
      <c r="AG2964" s="237"/>
      <c r="AH2964" s="237"/>
      <c r="AJ2964" s="238"/>
    </row>
    <row r="2965" spans="1:39" x14ac:dyDescent="0.25">
      <c r="AA2965" s="237"/>
      <c r="AB2965" s="237"/>
      <c r="AC2965" s="237"/>
      <c r="AD2965" s="237"/>
      <c r="AE2965" s="237"/>
      <c r="AF2965" s="237"/>
      <c r="AG2965" s="237"/>
      <c r="AH2965" s="237"/>
      <c r="AJ2965" s="238"/>
    </row>
    <row r="2966" spans="1:39" x14ac:dyDescent="0.25">
      <c r="AA2966" s="237"/>
      <c r="AB2966" s="237"/>
      <c r="AC2966" s="237"/>
      <c r="AD2966" s="237"/>
      <c r="AE2966" s="237"/>
      <c r="AF2966" s="237"/>
      <c r="AG2966" s="237"/>
      <c r="AH2966" s="237"/>
      <c r="AJ2966" s="238"/>
    </row>
    <row r="2967" spans="1:39" x14ac:dyDescent="0.25">
      <c r="AA2967" s="237"/>
      <c r="AB2967" s="237"/>
      <c r="AC2967" s="237"/>
      <c r="AD2967" s="237"/>
      <c r="AE2967" s="237"/>
      <c r="AF2967" s="237"/>
      <c r="AG2967" s="237"/>
      <c r="AH2967" s="237"/>
      <c r="AJ2967" s="238"/>
    </row>
    <row r="2968" spans="1:39" x14ac:dyDescent="0.25">
      <c r="AA2968" s="237"/>
      <c r="AB2968" s="237"/>
      <c r="AC2968" s="237"/>
      <c r="AD2968" s="237"/>
      <c r="AE2968" s="237"/>
      <c r="AF2968" s="237"/>
      <c r="AG2968" s="237"/>
      <c r="AH2968" s="237"/>
      <c r="AJ2968" s="238"/>
    </row>
    <row r="2969" spans="1:39" ht="12.75" x14ac:dyDescent="0.2">
      <c r="AL2969" s="226"/>
      <c r="AM2969" s="226"/>
    </row>
    <row r="2970" spans="1:39" ht="12.75" x14ac:dyDescent="0.2">
      <c r="A2970" s="236"/>
      <c r="B2970" s="236"/>
      <c r="C2970" s="236"/>
      <c r="D2970" s="236"/>
      <c r="E2970" s="237"/>
      <c r="G2970" s="237"/>
      <c r="H2970" s="237"/>
      <c r="I2970" s="237"/>
      <c r="K2970" s="237"/>
      <c r="N2970" s="237"/>
      <c r="O2970" s="237"/>
      <c r="P2970" s="237"/>
      <c r="Q2970" s="237"/>
      <c r="AL2970" s="226"/>
      <c r="AM2970" s="226"/>
    </row>
    <row r="2971" spans="1:39" x14ac:dyDescent="0.25">
      <c r="AA2971" s="237"/>
      <c r="AB2971" s="237"/>
      <c r="AC2971" s="237"/>
      <c r="AD2971" s="237"/>
      <c r="AE2971" s="237"/>
      <c r="AF2971" s="237"/>
      <c r="AG2971" s="237"/>
      <c r="AH2971" s="237"/>
      <c r="AJ2971" s="238"/>
    </row>
    <row r="2972" spans="1:39" ht="12.75" x14ac:dyDescent="0.2">
      <c r="AL2972" s="226"/>
      <c r="AM2972" s="226"/>
    </row>
    <row r="2973" spans="1:39" ht="12.75" x14ac:dyDescent="0.2">
      <c r="A2973" s="236"/>
      <c r="B2973" s="236"/>
      <c r="C2973" s="236"/>
      <c r="D2973" s="236"/>
      <c r="E2973" s="237"/>
      <c r="G2973" s="237"/>
      <c r="H2973" s="237"/>
      <c r="I2973" s="237"/>
      <c r="K2973" s="237"/>
      <c r="N2973" s="237"/>
      <c r="O2973" s="237"/>
      <c r="P2973" s="237"/>
      <c r="Q2973" s="237"/>
      <c r="AL2973" s="226"/>
      <c r="AM2973" s="226"/>
    </row>
    <row r="2974" spans="1:39" x14ac:dyDescent="0.25">
      <c r="AA2974" s="237"/>
      <c r="AB2974" s="237"/>
      <c r="AC2974" s="237"/>
      <c r="AD2974" s="237"/>
      <c r="AE2974" s="237"/>
      <c r="AF2974" s="237"/>
      <c r="AG2974" s="237"/>
      <c r="AH2974" s="237"/>
      <c r="AJ2974" s="238"/>
    </row>
    <row r="2975" spans="1:39" ht="12.75" x14ac:dyDescent="0.2">
      <c r="AL2975" s="226"/>
      <c r="AM2975" s="226"/>
    </row>
    <row r="2976" spans="1:39" ht="12.75" x14ac:dyDescent="0.2">
      <c r="A2976" s="236"/>
      <c r="B2976" s="236"/>
      <c r="C2976" s="236"/>
      <c r="D2976" s="236"/>
      <c r="E2976" s="237"/>
      <c r="G2976" s="237"/>
      <c r="H2976" s="237"/>
      <c r="I2976" s="237"/>
      <c r="K2976" s="237"/>
      <c r="N2976" s="237"/>
      <c r="O2976" s="237"/>
      <c r="P2976" s="237"/>
      <c r="Q2976" s="237"/>
      <c r="AL2976" s="226"/>
      <c r="AM2976" s="226"/>
    </row>
    <row r="2977" spans="1:39" x14ac:dyDescent="0.25">
      <c r="AA2977" s="237"/>
      <c r="AB2977" s="237"/>
      <c r="AC2977" s="237"/>
      <c r="AD2977" s="237"/>
      <c r="AE2977" s="237"/>
      <c r="AF2977" s="237"/>
      <c r="AG2977" s="237"/>
      <c r="AH2977" s="237"/>
      <c r="AJ2977" s="238"/>
    </row>
    <row r="2978" spans="1:39" ht="12.75" x14ac:dyDescent="0.2">
      <c r="AL2978" s="226"/>
      <c r="AM2978" s="226"/>
    </row>
    <row r="2979" spans="1:39" ht="12.75" x14ac:dyDescent="0.2">
      <c r="A2979" s="236"/>
      <c r="B2979" s="236"/>
      <c r="C2979" s="236"/>
      <c r="D2979" s="236"/>
      <c r="E2979" s="237"/>
      <c r="G2979" s="237"/>
      <c r="H2979" s="237"/>
      <c r="I2979" s="237"/>
      <c r="K2979" s="237"/>
      <c r="N2979" s="237"/>
      <c r="O2979" s="237"/>
      <c r="P2979" s="237"/>
      <c r="Q2979" s="237"/>
      <c r="AL2979" s="226"/>
      <c r="AM2979" s="226"/>
    </row>
    <row r="2980" spans="1:39" x14ac:dyDescent="0.25">
      <c r="AA2980" s="237"/>
      <c r="AB2980" s="237"/>
      <c r="AC2980" s="237"/>
      <c r="AD2980" s="237"/>
      <c r="AE2980" s="237"/>
      <c r="AF2980" s="237"/>
      <c r="AG2980" s="237"/>
      <c r="AH2980" s="237"/>
      <c r="AJ2980" s="238"/>
    </row>
    <row r="2981" spans="1:39" x14ac:dyDescent="0.25">
      <c r="AA2981" s="237"/>
      <c r="AB2981" s="237"/>
      <c r="AC2981" s="237"/>
      <c r="AD2981" s="237"/>
      <c r="AE2981" s="237"/>
      <c r="AF2981" s="237"/>
      <c r="AG2981" s="237"/>
      <c r="AH2981" s="237"/>
      <c r="AJ2981" s="238"/>
    </row>
    <row r="2982" spans="1:39" x14ac:dyDescent="0.25">
      <c r="AA2982" s="237"/>
      <c r="AB2982" s="237"/>
      <c r="AC2982" s="237"/>
      <c r="AD2982" s="237"/>
      <c r="AE2982" s="237"/>
      <c r="AF2982" s="237"/>
      <c r="AG2982" s="237"/>
      <c r="AH2982" s="237"/>
      <c r="AJ2982" s="238"/>
    </row>
    <row r="2983" spans="1:39" ht="12.75" x14ac:dyDescent="0.2">
      <c r="AL2983" s="226"/>
      <c r="AM2983" s="226"/>
    </row>
    <row r="2984" spans="1:39" ht="12.75" x14ac:dyDescent="0.2">
      <c r="A2984" s="236"/>
      <c r="B2984" s="236"/>
      <c r="C2984" s="236"/>
      <c r="D2984" s="236"/>
      <c r="E2984" s="237"/>
      <c r="G2984" s="237"/>
      <c r="H2984" s="237"/>
      <c r="I2984" s="237"/>
      <c r="K2984" s="237"/>
      <c r="N2984" s="237"/>
      <c r="O2984" s="237"/>
      <c r="P2984" s="237"/>
      <c r="Q2984" s="237"/>
      <c r="AL2984" s="226"/>
      <c r="AM2984" s="226"/>
    </row>
    <row r="2985" spans="1:39" x14ac:dyDescent="0.25">
      <c r="AA2985" s="237"/>
      <c r="AB2985" s="237"/>
      <c r="AC2985" s="237"/>
      <c r="AD2985" s="237"/>
      <c r="AE2985" s="237"/>
      <c r="AF2985" s="237"/>
      <c r="AG2985" s="237"/>
      <c r="AH2985" s="237"/>
      <c r="AJ2985" s="238"/>
    </row>
    <row r="2986" spans="1:39" x14ac:dyDescent="0.25">
      <c r="AA2986" s="237"/>
      <c r="AB2986" s="237"/>
      <c r="AC2986" s="237"/>
      <c r="AD2986" s="237"/>
      <c r="AE2986" s="237"/>
      <c r="AF2986" s="237"/>
      <c r="AG2986" s="237"/>
      <c r="AH2986" s="237"/>
      <c r="AJ2986" s="238"/>
    </row>
    <row r="2987" spans="1:39" x14ac:dyDescent="0.25">
      <c r="AA2987" s="237"/>
      <c r="AB2987" s="237"/>
      <c r="AC2987" s="237"/>
      <c r="AD2987" s="237"/>
      <c r="AE2987" s="237"/>
      <c r="AF2987" s="237"/>
      <c r="AG2987" s="237"/>
      <c r="AH2987" s="237"/>
      <c r="AJ2987" s="238"/>
    </row>
    <row r="2988" spans="1:39" x14ac:dyDescent="0.25">
      <c r="AA2988" s="237"/>
      <c r="AB2988" s="237"/>
      <c r="AC2988" s="237"/>
      <c r="AD2988" s="237"/>
      <c r="AE2988" s="237"/>
      <c r="AF2988" s="237"/>
      <c r="AG2988" s="237"/>
      <c r="AH2988" s="237"/>
      <c r="AJ2988" s="238"/>
    </row>
    <row r="2989" spans="1:39" x14ac:dyDescent="0.25">
      <c r="AA2989" s="237"/>
      <c r="AB2989" s="237"/>
      <c r="AC2989" s="237"/>
      <c r="AD2989" s="237"/>
      <c r="AE2989" s="237"/>
      <c r="AF2989" s="237"/>
      <c r="AG2989" s="237"/>
      <c r="AH2989" s="237"/>
      <c r="AJ2989" s="238"/>
    </row>
    <row r="2990" spans="1:39" x14ac:dyDescent="0.25">
      <c r="AA2990" s="237"/>
      <c r="AB2990" s="237"/>
      <c r="AC2990" s="237"/>
      <c r="AD2990" s="237"/>
      <c r="AE2990" s="237"/>
      <c r="AF2990" s="237"/>
      <c r="AG2990" s="237"/>
      <c r="AH2990" s="237"/>
      <c r="AJ2990" s="238"/>
    </row>
    <row r="2991" spans="1:39" x14ac:dyDescent="0.25">
      <c r="AA2991" s="237"/>
      <c r="AB2991" s="237"/>
      <c r="AC2991" s="237"/>
      <c r="AD2991" s="237"/>
      <c r="AE2991" s="237"/>
      <c r="AF2991" s="237"/>
      <c r="AG2991" s="237"/>
      <c r="AH2991" s="237"/>
      <c r="AJ2991" s="238"/>
    </row>
    <row r="2992" spans="1:39" x14ac:dyDescent="0.25">
      <c r="AA2992" s="237"/>
      <c r="AB2992" s="237"/>
      <c r="AC2992" s="237"/>
      <c r="AD2992" s="237"/>
      <c r="AE2992" s="237"/>
      <c r="AF2992" s="237"/>
      <c r="AG2992" s="237"/>
      <c r="AH2992" s="237"/>
      <c r="AJ2992" s="238"/>
    </row>
    <row r="2993" spans="1:39" ht="12.75" x14ac:dyDescent="0.2">
      <c r="AL2993" s="226"/>
      <c r="AM2993" s="226"/>
    </row>
    <row r="2994" spans="1:39" ht="12.75" x14ac:dyDescent="0.2">
      <c r="A2994" s="236"/>
      <c r="B2994" s="236"/>
      <c r="C2994" s="236"/>
      <c r="D2994" s="236"/>
      <c r="E2994" s="237"/>
      <c r="G2994" s="237"/>
      <c r="H2994" s="237"/>
      <c r="I2994" s="237"/>
      <c r="K2994" s="237"/>
      <c r="N2994" s="237"/>
      <c r="O2994" s="237"/>
      <c r="P2994" s="237"/>
      <c r="Q2994" s="237"/>
      <c r="AL2994" s="226"/>
      <c r="AM2994" s="226"/>
    </row>
    <row r="2995" spans="1:39" x14ac:dyDescent="0.25">
      <c r="AA2995" s="237"/>
      <c r="AB2995" s="237"/>
      <c r="AC2995" s="237"/>
      <c r="AD2995" s="237"/>
      <c r="AE2995" s="237"/>
      <c r="AF2995" s="237"/>
      <c r="AG2995" s="237"/>
      <c r="AH2995" s="237"/>
      <c r="AJ2995" s="238"/>
    </row>
    <row r="2996" spans="1:39" ht="12.75" x14ac:dyDescent="0.2">
      <c r="AL2996" s="226"/>
      <c r="AM2996" s="226"/>
    </row>
    <row r="2997" spans="1:39" ht="12.75" x14ac:dyDescent="0.2">
      <c r="A2997" s="236"/>
      <c r="B2997" s="236"/>
      <c r="C2997" s="236"/>
      <c r="D2997" s="236"/>
      <c r="E2997" s="237"/>
      <c r="G2997" s="237"/>
      <c r="H2997" s="237"/>
      <c r="I2997" s="237"/>
      <c r="K2997" s="237"/>
      <c r="N2997" s="237"/>
      <c r="O2997" s="237"/>
      <c r="P2997" s="237"/>
      <c r="Q2997" s="237"/>
      <c r="AL2997" s="226"/>
      <c r="AM2997" s="226"/>
    </row>
    <row r="2998" spans="1:39" x14ac:dyDescent="0.25">
      <c r="AA2998" s="237"/>
      <c r="AB2998" s="237"/>
      <c r="AC2998" s="237"/>
      <c r="AD2998" s="237"/>
      <c r="AE2998" s="237"/>
      <c r="AF2998" s="237"/>
      <c r="AG2998" s="237"/>
      <c r="AH2998" s="237"/>
      <c r="AJ2998" s="238"/>
    </row>
    <row r="2999" spans="1:39" x14ac:dyDescent="0.25">
      <c r="AA2999" s="237"/>
      <c r="AB2999" s="237"/>
      <c r="AC2999" s="237"/>
      <c r="AD2999" s="237"/>
      <c r="AE2999" s="237"/>
      <c r="AF2999" s="237"/>
      <c r="AG2999" s="237"/>
      <c r="AH2999" s="237"/>
      <c r="AJ2999" s="238"/>
    </row>
    <row r="3000" spans="1:39" x14ac:dyDescent="0.25">
      <c r="AA3000" s="237"/>
      <c r="AB3000" s="237"/>
      <c r="AC3000" s="237"/>
      <c r="AD3000" s="237"/>
      <c r="AE3000" s="237"/>
      <c r="AF3000" s="237"/>
      <c r="AG3000" s="237"/>
      <c r="AH3000" s="237"/>
      <c r="AJ3000" s="238"/>
    </row>
    <row r="3001" spans="1:39" x14ac:dyDescent="0.25">
      <c r="AA3001" s="237"/>
      <c r="AB3001" s="237"/>
      <c r="AC3001" s="237"/>
      <c r="AD3001" s="237"/>
      <c r="AE3001" s="237"/>
      <c r="AF3001" s="237"/>
      <c r="AG3001" s="237"/>
      <c r="AH3001" s="237"/>
      <c r="AJ3001" s="238"/>
    </row>
    <row r="3002" spans="1:39" ht="12.75" x14ac:dyDescent="0.2">
      <c r="AL3002" s="226"/>
      <c r="AM3002" s="226"/>
    </row>
    <row r="3003" spans="1:39" ht="12.75" x14ac:dyDescent="0.2">
      <c r="A3003" s="236"/>
      <c r="B3003" s="236"/>
      <c r="C3003" s="236"/>
      <c r="D3003" s="236"/>
      <c r="E3003" s="237"/>
      <c r="G3003" s="237"/>
      <c r="H3003" s="237"/>
      <c r="I3003" s="237"/>
      <c r="K3003" s="237"/>
      <c r="N3003" s="237"/>
      <c r="O3003" s="237"/>
      <c r="P3003" s="237"/>
      <c r="Q3003" s="237"/>
      <c r="AL3003" s="226"/>
      <c r="AM3003" s="226"/>
    </row>
    <row r="3004" spans="1:39" x14ac:dyDescent="0.25">
      <c r="AA3004" s="237"/>
      <c r="AB3004" s="237"/>
      <c r="AC3004" s="237"/>
      <c r="AD3004" s="237"/>
      <c r="AE3004" s="237"/>
      <c r="AF3004" s="237"/>
      <c r="AG3004" s="237"/>
      <c r="AH3004" s="237"/>
      <c r="AJ3004" s="238"/>
    </row>
    <row r="3005" spans="1:39" ht="12.75" x14ac:dyDescent="0.2">
      <c r="AL3005" s="226"/>
      <c r="AM3005" s="226"/>
    </row>
    <row r="3006" spans="1:39" ht="12.75" x14ac:dyDescent="0.2">
      <c r="A3006" s="236"/>
      <c r="B3006" s="236"/>
      <c r="C3006" s="236"/>
      <c r="D3006" s="236"/>
      <c r="E3006" s="237"/>
      <c r="G3006" s="237"/>
      <c r="H3006" s="237"/>
      <c r="I3006" s="237"/>
      <c r="K3006" s="237"/>
      <c r="N3006" s="237"/>
      <c r="O3006" s="237"/>
      <c r="P3006" s="237"/>
      <c r="Q3006" s="237"/>
      <c r="AL3006" s="226"/>
      <c r="AM3006" s="226"/>
    </row>
    <row r="3007" spans="1:39" x14ac:dyDescent="0.25">
      <c r="AA3007" s="237"/>
      <c r="AB3007" s="237"/>
      <c r="AC3007" s="237"/>
      <c r="AD3007" s="237"/>
      <c r="AE3007" s="237"/>
      <c r="AF3007" s="237"/>
      <c r="AG3007" s="237"/>
      <c r="AH3007" s="237"/>
      <c r="AJ3007" s="238"/>
    </row>
    <row r="3008" spans="1:39" x14ac:dyDescent="0.25">
      <c r="AA3008" s="237"/>
      <c r="AB3008" s="237"/>
      <c r="AC3008" s="237"/>
      <c r="AD3008" s="237"/>
      <c r="AE3008" s="237"/>
      <c r="AF3008" s="237"/>
      <c r="AG3008" s="237"/>
      <c r="AH3008" s="237"/>
      <c r="AJ3008" s="238"/>
    </row>
    <row r="3009" spans="1:39" x14ac:dyDescent="0.25">
      <c r="AA3009" s="237"/>
      <c r="AB3009" s="237"/>
      <c r="AC3009" s="237"/>
      <c r="AD3009" s="237"/>
      <c r="AE3009" s="237"/>
      <c r="AF3009" s="237"/>
      <c r="AG3009" s="237"/>
      <c r="AH3009" s="237"/>
      <c r="AJ3009" s="238"/>
    </row>
    <row r="3010" spans="1:39" x14ac:dyDescent="0.25">
      <c r="AA3010" s="237"/>
      <c r="AB3010" s="237"/>
      <c r="AC3010" s="237"/>
      <c r="AD3010" s="237"/>
      <c r="AE3010" s="237"/>
      <c r="AF3010" s="237"/>
      <c r="AG3010" s="237"/>
      <c r="AH3010" s="237"/>
      <c r="AJ3010" s="238"/>
    </row>
    <row r="3011" spans="1:39" x14ac:dyDescent="0.25">
      <c r="AA3011" s="237"/>
      <c r="AB3011" s="237"/>
      <c r="AC3011" s="237"/>
      <c r="AD3011" s="237"/>
      <c r="AE3011" s="237"/>
      <c r="AF3011" s="237"/>
      <c r="AG3011" s="237"/>
      <c r="AH3011" s="237"/>
      <c r="AJ3011" s="238"/>
    </row>
    <row r="3012" spans="1:39" x14ac:dyDescent="0.25">
      <c r="AA3012" s="237"/>
      <c r="AB3012" s="237"/>
      <c r="AC3012" s="237"/>
      <c r="AD3012" s="237"/>
      <c r="AE3012" s="237"/>
      <c r="AF3012" s="237"/>
      <c r="AG3012" s="237"/>
      <c r="AH3012" s="237"/>
      <c r="AJ3012" s="238"/>
    </row>
    <row r="3013" spans="1:39" x14ac:dyDescent="0.25">
      <c r="AA3013" s="237"/>
      <c r="AB3013" s="237"/>
      <c r="AC3013" s="237"/>
      <c r="AD3013" s="237"/>
      <c r="AE3013" s="237"/>
      <c r="AF3013" s="237"/>
      <c r="AG3013" s="237"/>
      <c r="AH3013" s="237"/>
      <c r="AJ3013" s="238"/>
    </row>
    <row r="3014" spans="1:39" x14ac:dyDescent="0.25">
      <c r="AA3014" s="237"/>
      <c r="AB3014" s="237"/>
      <c r="AC3014" s="237"/>
      <c r="AD3014" s="237"/>
      <c r="AE3014" s="237"/>
      <c r="AF3014" s="237"/>
      <c r="AG3014" s="237"/>
      <c r="AH3014" s="237"/>
      <c r="AJ3014" s="238"/>
    </row>
    <row r="3015" spans="1:39" x14ac:dyDescent="0.25">
      <c r="AA3015" s="237"/>
      <c r="AB3015" s="237"/>
      <c r="AC3015" s="237"/>
      <c r="AD3015" s="237"/>
      <c r="AE3015" s="237"/>
      <c r="AF3015" s="237"/>
      <c r="AG3015" s="237"/>
      <c r="AH3015" s="237"/>
      <c r="AJ3015" s="238"/>
    </row>
    <row r="3016" spans="1:39" ht="12.75" x14ac:dyDescent="0.2">
      <c r="AL3016" s="226"/>
      <c r="AM3016" s="226"/>
    </row>
    <row r="3017" spans="1:39" ht="12.75" x14ac:dyDescent="0.2">
      <c r="A3017" s="236"/>
      <c r="B3017" s="236"/>
      <c r="C3017" s="236"/>
      <c r="D3017" s="236"/>
      <c r="E3017" s="237"/>
      <c r="G3017" s="237"/>
      <c r="H3017" s="237"/>
      <c r="I3017" s="237"/>
      <c r="K3017" s="237"/>
      <c r="N3017" s="237"/>
      <c r="O3017" s="237"/>
      <c r="P3017" s="237"/>
      <c r="Q3017" s="237"/>
      <c r="AL3017" s="226"/>
      <c r="AM3017" s="226"/>
    </row>
    <row r="3018" spans="1:39" x14ac:dyDescent="0.25">
      <c r="AA3018" s="237"/>
      <c r="AB3018" s="237"/>
      <c r="AC3018" s="237"/>
      <c r="AD3018" s="237"/>
      <c r="AE3018" s="237"/>
      <c r="AF3018" s="237"/>
      <c r="AG3018" s="237"/>
      <c r="AH3018" s="237"/>
      <c r="AJ3018" s="238"/>
    </row>
    <row r="3019" spans="1:39" x14ac:dyDescent="0.25">
      <c r="AA3019" s="237"/>
      <c r="AB3019" s="237"/>
      <c r="AC3019" s="237"/>
      <c r="AD3019" s="237"/>
      <c r="AE3019" s="237"/>
      <c r="AF3019" s="237"/>
      <c r="AG3019" s="237"/>
      <c r="AH3019" s="237"/>
      <c r="AJ3019" s="238"/>
    </row>
    <row r="3020" spans="1:39" x14ac:dyDescent="0.25">
      <c r="AA3020" s="237"/>
      <c r="AB3020" s="237"/>
      <c r="AC3020" s="237"/>
      <c r="AD3020" s="237"/>
      <c r="AE3020" s="237"/>
      <c r="AF3020" s="237"/>
      <c r="AG3020" s="237"/>
      <c r="AH3020" s="237"/>
      <c r="AJ3020" s="238"/>
    </row>
    <row r="3021" spans="1:39" x14ac:dyDescent="0.25">
      <c r="AA3021" s="237"/>
      <c r="AB3021" s="237"/>
      <c r="AC3021" s="237"/>
      <c r="AD3021" s="237"/>
      <c r="AE3021" s="237"/>
      <c r="AF3021" s="237"/>
      <c r="AG3021" s="237"/>
      <c r="AH3021" s="237"/>
      <c r="AJ3021" s="238"/>
    </row>
    <row r="3022" spans="1:39" x14ac:dyDescent="0.25">
      <c r="AA3022" s="237"/>
      <c r="AB3022" s="237"/>
      <c r="AC3022" s="237"/>
      <c r="AD3022" s="237"/>
      <c r="AE3022" s="237"/>
      <c r="AF3022" s="237"/>
      <c r="AG3022" s="237"/>
      <c r="AH3022" s="237"/>
      <c r="AJ3022" s="238"/>
    </row>
    <row r="3023" spans="1:39" x14ac:dyDescent="0.25">
      <c r="AA3023" s="237"/>
      <c r="AB3023" s="237"/>
      <c r="AC3023" s="237"/>
      <c r="AD3023" s="237"/>
      <c r="AE3023" s="237"/>
      <c r="AF3023" s="237"/>
      <c r="AG3023" s="237"/>
      <c r="AH3023" s="237"/>
      <c r="AJ3023" s="238"/>
    </row>
    <row r="3024" spans="1:39" x14ac:dyDescent="0.25">
      <c r="AA3024" s="237"/>
      <c r="AB3024" s="237"/>
      <c r="AC3024" s="237"/>
      <c r="AD3024" s="237"/>
      <c r="AE3024" s="237"/>
      <c r="AF3024" s="237"/>
      <c r="AG3024" s="237"/>
      <c r="AH3024" s="237"/>
      <c r="AJ3024" s="238"/>
    </row>
    <row r="3025" spans="27:36" x14ac:dyDescent="0.25">
      <c r="AA3025" s="237"/>
      <c r="AB3025" s="237"/>
      <c r="AC3025" s="237"/>
      <c r="AD3025" s="237"/>
      <c r="AE3025" s="237"/>
      <c r="AF3025" s="237"/>
      <c r="AG3025" s="237"/>
      <c r="AH3025" s="237"/>
      <c r="AJ3025" s="238"/>
    </row>
    <row r="3026" spans="27:36" x14ac:dyDescent="0.25">
      <c r="AA3026" s="237"/>
      <c r="AB3026" s="237"/>
      <c r="AC3026" s="237"/>
      <c r="AD3026" s="237"/>
      <c r="AE3026" s="237"/>
      <c r="AF3026" s="237"/>
      <c r="AG3026" s="237"/>
      <c r="AH3026" s="237"/>
      <c r="AJ3026" s="238"/>
    </row>
    <row r="3027" spans="27:36" x14ac:dyDescent="0.25">
      <c r="AA3027" s="237"/>
      <c r="AB3027" s="237"/>
      <c r="AC3027" s="237"/>
      <c r="AD3027" s="237"/>
      <c r="AE3027" s="237"/>
      <c r="AF3027" s="237"/>
      <c r="AG3027" s="237"/>
      <c r="AH3027" s="237"/>
      <c r="AJ3027" s="238"/>
    </row>
    <row r="3028" spans="27:36" x14ac:dyDescent="0.25">
      <c r="AA3028" s="237"/>
      <c r="AB3028" s="237"/>
      <c r="AC3028" s="237"/>
      <c r="AD3028" s="237"/>
      <c r="AE3028" s="237"/>
      <c r="AF3028" s="237"/>
      <c r="AG3028" s="237"/>
      <c r="AH3028" s="237"/>
      <c r="AJ3028" s="238"/>
    </row>
    <row r="3029" spans="27:36" x14ac:dyDescent="0.25">
      <c r="AA3029" s="237"/>
      <c r="AB3029" s="237"/>
      <c r="AC3029" s="237"/>
      <c r="AD3029" s="237"/>
      <c r="AE3029" s="237"/>
      <c r="AF3029" s="237"/>
      <c r="AG3029" s="237"/>
      <c r="AH3029" s="237"/>
      <c r="AJ3029" s="238"/>
    </row>
    <row r="3030" spans="27:36" x14ac:dyDescent="0.25">
      <c r="AA3030" s="237"/>
      <c r="AB3030" s="237"/>
      <c r="AC3030" s="237"/>
      <c r="AD3030" s="237"/>
      <c r="AE3030" s="237"/>
      <c r="AF3030" s="237"/>
      <c r="AG3030" s="237"/>
      <c r="AH3030" s="237"/>
      <c r="AJ3030" s="238"/>
    </row>
    <row r="3031" spans="27:36" x14ac:dyDescent="0.25">
      <c r="AA3031" s="237"/>
      <c r="AB3031" s="237"/>
      <c r="AC3031" s="237"/>
      <c r="AD3031" s="237"/>
      <c r="AE3031" s="237"/>
      <c r="AF3031" s="237"/>
      <c r="AG3031" s="237"/>
      <c r="AH3031" s="237"/>
      <c r="AJ3031" s="238"/>
    </row>
    <row r="3032" spans="27:36" x14ac:dyDescent="0.25">
      <c r="AA3032" s="237"/>
      <c r="AB3032" s="237"/>
      <c r="AC3032" s="237"/>
      <c r="AD3032" s="237"/>
      <c r="AE3032" s="237"/>
      <c r="AF3032" s="237"/>
      <c r="AG3032" s="237"/>
      <c r="AH3032" s="237"/>
      <c r="AJ3032" s="238"/>
    </row>
    <row r="3033" spans="27:36" x14ac:dyDescent="0.25">
      <c r="AA3033" s="237"/>
      <c r="AB3033" s="237"/>
      <c r="AC3033" s="237"/>
      <c r="AD3033" s="237"/>
      <c r="AE3033" s="237"/>
      <c r="AF3033" s="237"/>
      <c r="AG3033" s="237"/>
      <c r="AH3033" s="237"/>
      <c r="AJ3033" s="238"/>
    </row>
    <row r="3034" spans="27:36" x14ac:dyDescent="0.25">
      <c r="AA3034" s="237"/>
      <c r="AB3034" s="237"/>
      <c r="AC3034" s="237"/>
      <c r="AD3034" s="237"/>
      <c r="AE3034" s="237"/>
      <c r="AF3034" s="237"/>
      <c r="AG3034" s="237"/>
      <c r="AH3034" s="237"/>
      <c r="AJ3034" s="238"/>
    </row>
    <row r="3035" spans="27:36" x14ac:dyDescent="0.25">
      <c r="AA3035" s="237"/>
      <c r="AB3035" s="237"/>
      <c r="AC3035" s="237"/>
      <c r="AD3035" s="237"/>
      <c r="AE3035" s="237"/>
      <c r="AF3035" s="237"/>
      <c r="AG3035" s="237"/>
      <c r="AH3035" s="237"/>
      <c r="AJ3035" s="238"/>
    </row>
    <row r="3036" spans="27:36" x14ac:dyDescent="0.25">
      <c r="AA3036" s="237"/>
      <c r="AB3036" s="237"/>
      <c r="AC3036" s="237"/>
      <c r="AD3036" s="237"/>
      <c r="AE3036" s="237"/>
      <c r="AF3036" s="237"/>
      <c r="AG3036" s="237"/>
      <c r="AH3036" s="237"/>
      <c r="AJ3036" s="238"/>
    </row>
    <row r="3037" spans="27:36" x14ac:dyDescent="0.25">
      <c r="AA3037" s="237"/>
      <c r="AB3037" s="237"/>
      <c r="AC3037" s="237"/>
      <c r="AD3037" s="237"/>
      <c r="AE3037" s="237"/>
      <c r="AF3037" s="237"/>
      <c r="AG3037" s="237"/>
      <c r="AH3037" s="237"/>
      <c r="AJ3037" s="238"/>
    </row>
    <row r="3038" spans="27:36" x14ac:dyDescent="0.25">
      <c r="AA3038" s="237"/>
      <c r="AB3038" s="237"/>
      <c r="AC3038" s="237"/>
      <c r="AD3038" s="237"/>
      <c r="AE3038" s="237"/>
      <c r="AF3038" s="237"/>
      <c r="AG3038" s="237"/>
      <c r="AH3038" s="237"/>
      <c r="AJ3038" s="238"/>
    </row>
    <row r="3039" spans="27:36" x14ac:dyDescent="0.25">
      <c r="AA3039" s="237"/>
      <c r="AB3039" s="237"/>
      <c r="AC3039" s="237"/>
      <c r="AD3039" s="237"/>
      <c r="AE3039" s="237"/>
      <c r="AF3039" s="237"/>
      <c r="AG3039" s="237"/>
      <c r="AH3039" s="237"/>
      <c r="AJ3039" s="238"/>
    </row>
    <row r="3040" spans="27:36" x14ac:dyDescent="0.25">
      <c r="AA3040" s="237"/>
      <c r="AB3040" s="237"/>
      <c r="AC3040" s="237"/>
      <c r="AD3040" s="237"/>
      <c r="AE3040" s="237"/>
      <c r="AF3040" s="237"/>
      <c r="AG3040" s="237"/>
      <c r="AH3040" s="237"/>
      <c r="AJ3040" s="238"/>
    </row>
    <row r="3041" spans="1:39" x14ac:dyDescent="0.25">
      <c r="AA3041" s="237"/>
      <c r="AB3041" s="237"/>
      <c r="AC3041" s="237"/>
      <c r="AD3041" s="237"/>
      <c r="AE3041" s="237"/>
      <c r="AF3041" s="237"/>
      <c r="AG3041" s="237"/>
      <c r="AH3041" s="237"/>
      <c r="AJ3041" s="238"/>
    </row>
    <row r="3042" spans="1:39" x14ac:dyDescent="0.25">
      <c r="AA3042" s="237"/>
      <c r="AB3042" s="237"/>
      <c r="AC3042" s="237"/>
      <c r="AD3042" s="237"/>
      <c r="AE3042" s="237"/>
      <c r="AF3042" s="237"/>
      <c r="AG3042" s="237"/>
      <c r="AH3042" s="237"/>
      <c r="AJ3042" s="238"/>
    </row>
    <row r="3043" spans="1:39" x14ac:dyDescent="0.25">
      <c r="AA3043" s="237"/>
      <c r="AB3043" s="237"/>
      <c r="AC3043" s="237"/>
      <c r="AD3043" s="237"/>
      <c r="AE3043" s="237"/>
      <c r="AF3043" s="237"/>
      <c r="AG3043" s="237"/>
      <c r="AH3043" s="237"/>
      <c r="AJ3043" s="238"/>
    </row>
    <row r="3044" spans="1:39" x14ac:dyDescent="0.25">
      <c r="AA3044" s="237"/>
      <c r="AB3044" s="237"/>
      <c r="AC3044" s="237"/>
      <c r="AD3044" s="237"/>
      <c r="AE3044" s="237"/>
      <c r="AF3044" s="237"/>
      <c r="AG3044" s="237"/>
      <c r="AH3044" s="237"/>
      <c r="AJ3044" s="238"/>
    </row>
    <row r="3045" spans="1:39" x14ac:dyDescent="0.25">
      <c r="AA3045" s="237"/>
      <c r="AB3045" s="237"/>
      <c r="AC3045" s="237"/>
      <c r="AD3045" s="237"/>
      <c r="AE3045" s="237"/>
      <c r="AF3045" s="237"/>
      <c r="AG3045" s="237"/>
      <c r="AH3045" s="237"/>
      <c r="AJ3045" s="238"/>
    </row>
    <row r="3046" spans="1:39" ht="12.75" x14ac:dyDescent="0.2">
      <c r="AL3046" s="226"/>
      <c r="AM3046" s="226"/>
    </row>
    <row r="3047" spans="1:39" ht="12.75" x14ac:dyDescent="0.2">
      <c r="A3047" s="244"/>
      <c r="B3047" s="244"/>
      <c r="C3047" s="244"/>
      <c r="D3047" s="244"/>
      <c r="E3047" s="245"/>
      <c r="F3047" s="246"/>
      <c r="G3047" s="245"/>
      <c r="H3047" s="245"/>
      <c r="I3047" s="245"/>
      <c r="J3047" s="246"/>
      <c r="K3047" s="245"/>
      <c r="L3047" s="246"/>
      <c r="M3047" s="246"/>
      <c r="N3047" s="245"/>
      <c r="O3047" s="245"/>
      <c r="P3047" s="245"/>
      <c r="Q3047" s="245"/>
      <c r="AL3047" s="226"/>
      <c r="AM3047" s="226"/>
    </row>
    <row r="3048" spans="1:39" ht="13.5" thickBot="1" x14ac:dyDescent="0.25">
      <c r="A3048" s="247"/>
      <c r="B3048" s="247"/>
      <c r="C3048" s="247"/>
      <c r="D3048" s="247"/>
      <c r="E3048" s="248"/>
      <c r="F3048" s="249"/>
      <c r="G3048" s="248"/>
      <c r="H3048" s="248"/>
      <c r="I3048" s="248"/>
      <c r="J3048" s="249"/>
      <c r="K3048" s="248"/>
      <c r="L3048" s="249"/>
      <c r="M3048" s="249"/>
      <c r="N3048" s="248"/>
      <c r="O3048" s="248"/>
      <c r="P3048" s="248"/>
      <c r="Q3048" s="248"/>
      <c r="R3048" s="242"/>
      <c r="S3048" s="242"/>
      <c r="T3048" s="242"/>
      <c r="U3048" s="242"/>
      <c r="V3048" s="242"/>
      <c r="W3048" s="242"/>
      <c r="X3048" s="242"/>
      <c r="Y3048" s="242"/>
      <c r="Z3048" s="242"/>
      <c r="AA3048" s="242"/>
      <c r="AB3048" s="242"/>
      <c r="AC3048" s="242"/>
      <c r="AD3048" s="242"/>
      <c r="AE3048" s="242"/>
      <c r="AF3048" s="242"/>
      <c r="AG3048" s="242"/>
      <c r="AH3048" s="242"/>
      <c r="AL3048" s="226"/>
      <c r="AM3048" s="226"/>
    </row>
    <row r="3049" spans="1:39" ht="12.75" x14ac:dyDescent="0.2">
      <c r="A3049" s="236"/>
      <c r="B3049" s="236"/>
      <c r="C3049" s="236"/>
      <c r="D3049" s="236"/>
      <c r="E3049" s="237"/>
      <c r="G3049" s="237"/>
      <c r="H3049" s="237"/>
      <c r="I3049" s="237"/>
      <c r="K3049" s="237"/>
      <c r="N3049" s="237"/>
      <c r="O3049" s="237"/>
      <c r="P3049" s="237"/>
      <c r="Q3049" s="237"/>
      <c r="AL3049" s="226"/>
      <c r="AM3049" s="226"/>
    </row>
    <row r="3050" spans="1:39" x14ac:dyDescent="0.25">
      <c r="AA3050" s="237"/>
      <c r="AB3050" s="237"/>
      <c r="AC3050" s="237"/>
      <c r="AD3050" s="237"/>
      <c r="AE3050" s="237"/>
      <c r="AF3050" s="237"/>
      <c r="AG3050" s="237"/>
      <c r="AH3050" s="237"/>
      <c r="AJ3050" s="238"/>
    </row>
    <row r="3051" spans="1:39" x14ac:dyDescent="0.25">
      <c r="AA3051" s="237"/>
      <c r="AB3051" s="237"/>
      <c r="AC3051" s="237"/>
      <c r="AD3051" s="237"/>
      <c r="AE3051" s="237"/>
      <c r="AF3051" s="237"/>
      <c r="AG3051" s="237"/>
      <c r="AH3051" s="237"/>
      <c r="AJ3051" s="238"/>
    </row>
    <row r="3052" spans="1:39" x14ac:dyDescent="0.25">
      <c r="AA3052" s="237"/>
      <c r="AB3052" s="237"/>
      <c r="AC3052" s="237"/>
      <c r="AD3052" s="237"/>
      <c r="AE3052" s="237"/>
      <c r="AF3052" s="237"/>
      <c r="AG3052" s="237"/>
      <c r="AH3052" s="237"/>
      <c r="AJ3052" s="238"/>
    </row>
    <row r="3053" spans="1:39" x14ac:dyDescent="0.25">
      <c r="AA3053" s="237"/>
      <c r="AB3053" s="237"/>
      <c r="AC3053" s="237"/>
      <c r="AD3053" s="237"/>
      <c r="AE3053" s="237"/>
      <c r="AF3053" s="237"/>
      <c r="AG3053" s="237"/>
      <c r="AH3053" s="237"/>
      <c r="AJ3053" s="238"/>
    </row>
    <row r="3054" spans="1:39" ht="12.75" x14ac:dyDescent="0.2">
      <c r="AL3054" s="226"/>
      <c r="AM3054" s="226"/>
    </row>
    <row r="3055" spans="1:39" ht="12.75" x14ac:dyDescent="0.2">
      <c r="A3055" s="236"/>
      <c r="B3055" s="236"/>
      <c r="C3055" s="236"/>
      <c r="D3055" s="236"/>
      <c r="E3055" s="237"/>
      <c r="G3055" s="237"/>
      <c r="H3055" s="237"/>
      <c r="I3055" s="237"/>
      <c r="K3055" s="237"/>
      <c r="N3055" s="237"/>
      <c r="O3055" s="237"/>
      <c r="P3055" s="237"/>
      <c r="Q3055" s="237"/>
      <c r="AL3055" s="226"/>
      <c r="AM3055" s="226"/>
    </row>
    <row r="3056" spans="1:39" x14ac:dyDescent="0.25">
      <c r="AA3056" s="237"/>
      <c r="AB3056" s="237"/>
      <c r="AC3056" s="237"/>
      <c r="AD3056" s="237"/>
      <c r="AE3056" s="237"/>
      <c r="AF3056" s="237"/>
      <c r="AG3056" s="237"/>
      <c r="AH3056" s="237"/>
      <c r="AJ3056" s="238"/>
    </row>
    <row r="3057" spans="1:39" x14ac:dyDescent="0.25">
      <c r="AA3057" s="237"/>
      <c r="AB3057" s="237"/>
      <c r="AC3057" s="237"/>
      <c r="AD3057" s="237"/>
      <c r="AE3057" s="237"/>
      <c r="AF3057" s="237"/>
      <c r="AG3057" s="237"/>
      <c r="AH3057" s="237"/>
      <c r="AJ3057" s="238"/>
    </row>
    <row r="3058" spans="1:39" ht="12.75" x14ac:dyDescent="0.2">
      <c r="AL3058" s="226"/>
      <c r="AM3058" s="226"/>
    </row>
    <row r="3059" spans="1:39" ht="12.75" x14ac:dyDescent="0.2">
      <c r="A3059" s="236"/>
      <c r="B3059" s="236"/>
      <c r="C3059" s="236"/>
      <c r="D3059" s="236"/>
      <c r="E3059" s="237"/>
      <c r="G3059" s="237"/>
      <c r="H3059" s="237"/>
      <c r="I3059" s="237"/>
      <c r="K3059" s="237"/>
      <c r="N3059" s="237"/>
      <c r="O3059" s="237"/>
      <c r="P3059" s="237"/>
      <c r="Q3059" s="237"/>
      <c r="AL3059" s="226"/>
      <c r="AM3059" s="226"/>
    </row>
    <row r="3060" spans="1:39" x14ac:dyDescent="0.25">
      <c r="AA3060" s="237"/>
      <c r="AB3060" s="237"/>
      <c r="AC3060" s="237"/>
      <c r="AD3060" s="237"/>
      <c r="AE3060" s="237"/>
      <c r="AF3060" s="237"/>
      <c r="AG3060" s="237"/>
      <c r="AH3060" s="237"/>
      <c r="AJ3060" s="238"/>
    </row>
    <row r="3061" spans="1:39" x14ac:dyDescent="0.25">
      <c r="AA3061" s="237"/>
      <c r="AB3061" s="237"/>
      <c r="AC3061" s="237"/>
      <c r="AD3061" s="237"/>
      <c r="AE3061" s="237"/>
      <c r="AF3061" s="237"/>
      <c r="AG3061" s="237"/>
      <c r="AH3061" s="237"/>
      <c r="AJ3061" s="238"/>
    </row>
    <row r="3062" spans="1:39" x14ac:dyDescent="0.25">
      <c r="AA3062" s="237"/>
      <c r="AB3062" s="237"/>
      <c r="AC3062" s="237"/>
      <c r="AD3062" s="237"/>
      <c r="AE3062" s="237"/>
      <c r="AF3062" s="237"/>
      <c r="AG3062" s="237"/>
      <c r="AH3062" s="237"/>
      <c r="AJ3062" s="238"/>
    </row>
    <row r="3063" spans="1:39" x14ac:dyDescent="0.25">
      <c r="AA3063" s="237"/>
      <c r="AB3063" s="237"/>
      <c r="AC3063" s="237"/>
      <c r="AD3063" s="237"/>
      <c r="AE3063" s="237"/>
      <c r="AF3063" s="237"/>
      <c r="AG3063" s="237"/>
      <c r="AH3063" s="237"/>
      <c r="AJ3063" s="238"/>
    </row>
    <row r="3064" spans="1:39" ht="12.75" x14ac:dyDescent="0.2">
      <c r="AL3064" s="226"/>
      <c r="AM3064" s="226"/>
    </row>
    <row r="3065" spans="1:39" ht="12.75" x14ac:dyDescent="0.2">
      <c r="A3065" s="236"/>
      <c r="B3065" s="236"/>
      <c r="C3065" s="236"/>
      <c r="D3065" s="236"/>
      <c r="E3065" s="237"/>
      <c r="G3065" s="237"/>
      <c r="H3065" s="237"/>
      <c r="I3065" s="237"/>
      <c r="K3065" s="237"/>
      <c r="N3065" s="237"/>
      <c r="O3065" s="237"/>
      <c r="P3065" s="237"/>
      <c r="Q3065" s="237"/>
      <c r="AL3065" s="226"/>
      <c r="AM3065" s="226"/>
    </row>
    <row r="3066" spans="1:39" x14ac:dyDescent="0.25">
      <c r="AA3066" s="237"/>
      <c r="AB3066" s="237"/>
      <c r="AC3066" s="237"/>
      <c r="AD3066" s="237"/>
      <c r="AE3066" s="237"/>
      <c r="AF3066" s="237"/>
      <c r="AG3066" s="237"/>
      <c r="AH3066" s="237"/>
      <c r="AJ3066" s="238"/>
    </row>
    <row r="3067" spans="1:39" ht="12.75" x14ac:dyDescent="0.2">
      <c r="AL3067" s="226"/>
      <c r="AM3067" s="226"/>
    </row>
    <row r="3068" spans="1:39" ht="12.75" x14ac:dyDescent="0.2">
      <c r="A3068" s="236"/>
      <c r="B3068" s="236"/>
      <c r="C3068" s="236"/>
      <c r="D3068" s="236"/>
      <c r="E3068" s="237"/>
      <c r="G3068" s="237"/>
      <c r="H3068" s="237"/>
      <c r="I3068" s="237"/>
      <c r="K3068" s="237"/>
      <c r="N3068" s="237"/>
      <c r="O3068" s="237"/>
      <c r="P3068" s="237"/>
      <c r="Q3068" s="237"/>
      <c r="AL3068" s="226"/>
      <c r="AM3068" s="226"/>
    </row>
    <row r="3069" spans="1:39" x14ac:dyDescent="0.25">
      <c r="AA3069" s="237"/>
      <c r="AB3069" s="237"/>
      <c r="AC3069" s="237"/>
      <c r="AD3069" s="237"/>
      <c r="AE3069" s="237"/>
      <c r="AF3069" s="237"/>
      <c r="AG3069" s="237"/>
      <c r="AH3069" s="237"/>
      <c r="AJ3069" s="238"/>
    </row>
    <row r="3070" spans="1:39" x14ac:dyDescent="0.25">
      <c r="AA3070" s="237"/>
      <c r="AB3070" s="237"/>
      <c r="AC3070" s="237"/>
      <c r="AD3070" s="237"/>
      <c r="AE3070" s="237"/>
      <c r="AF3070" s="237"/>
      <c r="AG3070" s="237"/>
      <c r="AH3070" s="237"/>
      <c r="AJ3070" s="238"/>
    </row>
    <row r="3071" spans="1:39" x14ac:dyDescent="0.25">
      <c r="AA3071" s="237"/>
      <c r="AB3071" s="237"/>
      <c r="AC3071" s="237"/>
      <c r="AD3071" s="237"/>
      <c r="AE3071" s="237"/>
      <c r="AF3071" s="237"/>
      <c r="AG3071" s="237"/>
      <c r="AH3071" s="237"/>
      <c r="AJ3071" s="238"/>
    </row>
    <row r="3072" spans="1:39" x14ac:dyDescent="0.25">
      <c r="AA3072" s="237"/>
      <c r="AB3072" s="237"/>
      <c r="AC3072" s="237"/>
      <c r="AD3072" s="237"/>
      <c r="AE3072" s="237"/>
      <c r="AF3072" s="237"/>
      <c r="AG3072" s="237"/>
      <c r="AH3072" s="237"/>
      <c r="AJ3072" s="238"/>
    </row>
    <row r="3073" spans="1:39" ht="12.75" x14ac:dyDescent="0.2">
      <c r="AL3073" s="226"/>
      <c r="AM3073" s="226"/>
    </row>
    <row r="3074" spans="1:39" ht="12.75" x14ac:dyDescent="0.2">
      <c r="A3074" s="236"/>
      <c r="B3074" s="236"/>
      <c r="C3074" s="236"/>
      <c r="D3074" s="236"/>
      <c r="E3074" s="237"/>
      <c r="G3074" s="237"/>
      <c r="H3074" s="237"/>
      <c r="I3074" s="237"/>
      <c r="K3074" s="237"/>
      <c r="N3074" s="237"/>
      <c r="O3074" s="237"/>
      <c r="P3074" s="237"/>
      <c r="Q3074" s="237"/>
      <c r="AL3074" s="226"/>
      <c r="AM3074" s="226"/>
    </row>
    <row r="3075" spans="1:39" x14ac:dyDescent="0.25">
      <c r="AA3075" s="237"/>
      <c r="AB3075" s="237"/>
      <c r="AC3075" s="237"/>
      <c r="AD3075" s="237"/>
      <c r="AE3075" s="237"/>
      <c r="AF3075" s="237"/>
      <c r="AG3075" s="237"/>
      <c r="AH3075" s="237"/>
      <c r="AJ3075" s="238"/>
    </row>
    <row r="3076" spans="1:39" x14ac:dyDescent="0.25">
      <c r="AA3076" s="237"/>
      <c r="AB3076" s="237"/>
      <c r="AC3076" s="237"/>
      <c r="AD3076" s="237"/>
      <c r="AE3076" s="237"/>
      <c r="AF3076" s="237"/>
      <c r="AG3076" s="237"/>
      <c r="AH3076" s="237"/>
      <c r="AJ3076" s="238"/>
    </row>
    <row r="3077" spans="1:39" x14ac:dyDescent="0.25">
      <c r="AA3077" s="237"/>
      <c r="AB3077" s="237"/>
      <c r="AC3077" s="237"/>
      <c r="AD3077" s="237"/>
      <c r="AE3077" s="237"/>
      <c r="AF3077" s="237"/>
      <c r="AG3077" s="237"/>
      <c r="AH3077" s="237"/>
      <c r="AJ3077" s="238"/>
    </row>
    <row r="3078" spans="1:39" x14ac:dyDescent="0.25">
      <c r="AA3078" s="237"/>
      <c r="AB3078" s="237"/>
      <c r="AC3078" s="237"/>
      <c r="AD3078" s="237"/>
      <c r="AE3078" s="237"/>
      <c r="AF3078" s="237"/>
      <c r="AG3078" s="237"/>
      <c r="AH3078" s="237"/>
      <c r="AJ3078" s="238"/>
    </row>
    <row r="3079" spans="1:39" ht="12.75" x14ac:dyDescent="0.2">
      <c r="AL3079" s="226"/>
      <c r="AM3079" s="226"/>
    </row>
    <row r="3080" spans="1:39" ht="12.75" x14ac:dyDescent="0.2">
      <c r="A3080" s="236"/>
      <c r="B3080" s="236"/>
      <c r="C3080" s="236"/>
      <c r="D3080" s="236"/>
      <c r="E3080" s="237"/>
      <c r="G3080" s="237"/>
      <c r="H3080" s="237"/>
      <c r="I3080" s="237"/>
      <c r="K3080" s="237"/>
      <c r="N3080" s="237"/>
      <c r="O3080" s="237"/>
      <c r="P3080" s="237"/>
      <c r="Q3080" s="237"/>
      <c r="AL3080" s="226"/>
      <c r="AM3080" s="226"/>
    </row>
    <row r="3081" spans="1:39" x14ac:dyDescent="0.25">
      <c r="AA3081" s="237"/>
      <c r="AB3081" s="237"/>
      <c r="AC3081" s="237"/>
      <c r="AD3081" s="237"/>
      <c r="AE3081" s="237"/>
      <c r="AF3081" s="237"/>
      <c r="AG3081" s="237"/>
      <c r="AH3081" s="237"/>
      <c r="AJ3081" s="238"/>
    </row>
    <row r="3082" spans="1:39" ht="12.75" x14ac:dyDescent="0.2">
      <c r="AL3082" s="226"/>
      <c r="AM3082" s="226"/>
    </row>
    <row r="3083" spans="1:39" ht="12.75" x14ac:dyDescent="0.2">
      <c r="A3083" s="236"/>
      <c r="B3083" s="236"/>
      <c r="C3083" s="236"/>
      <c r="D3083" s="236"/>
      <c r="E3083" s="237"/>
      <c r="G3083" s="237"/>
      <c r="H3083" s="237"/>
      <c r="I3083" s="237"/>
      <c r="K3083" s="237"/>
      <c r="N3083" s="237"/>
      <c r="O3083" s="237"/>
      <c r="P3083" s="237"/>
      <c r="Q3083" s="237"/>
      <c r="AL3083" s="226"/>
      <c r="AM3083" s="226"/>
    </row>
    <row r="3084" spans="1:39" x14ac:dyDescent="0.25">
      <c r="AA3084" s="237"/>
      <c r="AB3084" s="237"/>
      <c r="AC3084" s="237"/>
      <c r="AD3084" s="237"/>
      <c r="AE3084" s="237"/>
      <c r="AF3084" s="237"/>
      <c r="AG3084" s="237"/>
      <c r="AH3084" s="237"/>
      <c r="AJ3084" s="238"/>
    </row>
    <row r="3085" spans="1:39" ht="12.75" x14ac:dyDescent="0.2">
      <c r="AL3085" s="226"/>
      <c r="AM3085" s="226"/>
    </row>
    <row r="3086" spans="1:39" ht="12.75" x14ac:dyDescent="0.2">
      <c r="A3086" s="236"/>
      <c r="B3086" s="236"/>
      <c r="C3086" s="236"/>
      <c r="D3086" s="236"/>
      <c r="E3086" s="237"/>
      <c r="G3086" s="237"/>
      <c r="H3086" s="237"/>
      <c r="I3086" s="237"/>
      <c r="K3086" s="237"/>
      <c r="N3086" s="237"/>
      <c r="O3086" s="237"/>
      <c r="P3086" s="237"/>
      <c r="Q3086" s="237"/>
      <c r="AL3086" s="226"/>
      <c r="AM3086" s="226"/>
    </row>
    <row r="3087" spans="1:39" x14ac:dyDescent="0.25">
      <c r="AA3087" s="237"/>
      <c r="AB3087" s="237"/>
      <c r="AC3087" s="237"/>
      <c r="AD3087" s="237"/>
      <c r="AE3087" s="237"/>
      <c r="AF3087" s="237"/>
      <c r="AG3087" s="237"/>
      <c r="AH3087" s="237"/>
      <c r="AJ3087" s="238"/>
    </row>
    <row r="3088" spans="1:39" x14ac:dyDescent="0.25">
      <c r="AA3088" s="237"/>
      <c r="AB3088" s="237"/>
      <c r="AC3088" s="237"/>
      <c r="AD3088" s="237"/>
      <c r="AE3088" s="237"/>
      <c r="AF3088" s="237"/>
      <c r="AG3088" s="237"/>
      <c r="AH3088" s="237"/>
      <c r="AJ3088" s="238"/>
    </row>
    <row r="3089" spans="1:39" ht="12.75" x14ac:dyDescent="0.2">
      <c r="AL3089" s="226"/>
      <c r="AM3089" s="226"/>
    </row>
    <row r="3090" spans="1:39" ht="12.75" x14ac:dyDescent="0.2">
      <c r="A3090" s="236"/>
      <c r="B3090" s="236"/>
      <c r="C3090" s="236"/>
      <c r="D3090" s="236"/>
      <c r="E3090" s="237"/>
      <c r="G3090" s="237"/>
      <c r="H3090" s="237"/>
      <c r="I3090" s="237"/>
      <c r="K3090" s="237"/>
      <c r="N3090" s="237"/>
      <c r="O3090" s="237"/>
      <c r="P3090" s="237"/>
      <c r="Q3090" s="237"/>
      <c r="AL3090" s="226"/>
      <c r="AM3090" s="226"/>
    </row>
    <row r="3091" spans="1:39" x14ac:dyDescent="0.25">
      <c r="AA3091" s="237"/>
      <c r="AB3091" s="237"/>
      <c r="AC3091" s="237"/>
      <c r="AD3091" s="237"/>
      <c r="AE3091" s="237"/>
      <c r="AF3091" s="237"/>
      <c r="AG3091" s="237"/>
      <c r="AH3091" s="237"/>
      <c r="AJ3091" s="238"/>
    </row>
    <row r="3092" spans="1:39" x14ac:dyDescent="0.25">
      <c r="AA3092" s="237"/>
      <c r="AB3092" s="237"/>
      <c r="AC3092" s="237"/>
      <c r="AD3092" s="237"/>
      <c r="AE3092" s="237"/>
      <c r="AF3092" s="237"/>
      <c r="AG3092" s="237"/>
      <c r="AH3092" s="237"/>
      <c r="AJ3092" s="238"/>
    </row>
    <row r="3093" spans="1:39" x14ac:dyDescent="0.25">
      <c r="AA3093" s="237"/>
      <c r="AB3093" s="237"/>
      <c r="AC3093" s="237"/>
      <c r="AD3093" s="237"/>
      <c r="AE3093" s="237"/>
      <c r="AF3093" s="237"/>
      <c r="AG3093" s="237"/>
      <c r="AH3093" s="237"/>
      <c r="AJ3093" s="238"/>
    </row>
    <row r="3094" spans="1:39" x14ac:dyDescent="0.25">
      <c r="AA3094" s="237"/>
      <c r="AB3094" s="237"/>
      <c r="AC3094" s="237"/>
      <c r="AD3094" s="237"/>
      <c r="AE3094" s="237"/>
      <c r="AF3094" s="237"/>
      <c r="AG3094" s="237"/>
      <c r="AH3094" s="237"/>
      <c r="AJ3094" s="238"/>
    </row>
    <row r="3095" spans="1:39" ht="12.75" x14ac:dyDescent="0.2">
      <c r="AL3095" s="226"/>
      <c r="AM3095" s="226"/>
    </row>
    <row r="3096" spans="1:39" ht="12.75" x14ac:dyDescent="0.2">
      <c r="A3096" s="236"/>
      <c r="B3096" s="236"/>
      <c r="C3096" s="236"/>
      <c r="D3096" s="236"/>
      <c r="E3096" s="237"/>
      <c r="G3096" s="237"/>
      <c r="H3096" s="237"/>
      <c r="I3096" s="237"/>
      <c r="K3096" s="237"/>
      <c r="N3096" s="237"/>
      <c r="O3096" s="237"/>
      <c r="P3096" s="237"/>
      <c r="Q3096" s="237"/>
      <c r="AL3096" s="226"/>
      <c r="AM3096" s="226"/>
    </row>
    <row r="3097" spans="1:39" x14ac:dyDescent="0.25">
      <c r="AA3097" s="237"/>
      <c r="AB3097" s="237"/>
      <c r="AC3097" s="237"/>
      <c r="AD3097" s="237"/>
      <c r="AE3097" s="237"/>
      <c r="AF3097" s="237"/>
      <c r="AG3097" s="237"/>
      <c r="AH3097" s="237"/>
      <c r="AJ3097" s="238"/>
    </row>
    <row r="3098" spans="1:39" x14ac:dyDescent="0.25">
      <c r="AA3098" s="237"/>
      <c r="AB3098" s="237"/>
      <c r="AC3098" s="237"/>
      <c r="AD3098" s="237"/>
      <c r="AE3098" s="237"/>
      <c r="AF3098" s="237"/>
      <c r="AG3098" s="237"/>
      <c r="AH3098" s="237"/>
      <c r="AJ3098" s="238"/>
    </row>
    <row r="3099" spans="1:39" x14ac:dyDescent="0.25">
      <c r="AA3099" s="237"/>
      <c r="AB3099" s="237"/>
      <c r="AC3099" s="237"/>
      <c r="AD3099" s="237"/>
      <c r="AE3099" s="237"/>
      <c r="AF3099" s="237"/>
      <c r="AG3099" s="237"/>
      <c r="AH3099" s="237"/>
      <c r="AJ3099" s="238"/>
    </row>
    <row r="3100" spans="1:39" ht="12.75" x14ac:dyDescent="0.2">
      <c r="AL3100" s="226"/>
      <c r="AM3100" s="226"/>
    </row>
    <row r="3101" spans="1:39" ht="12.75" x14ac:dyDescent="0.2">
      <c r="A3101" s="236"/>
      <c r="B3101" s="236"/>
      <c r="C3101" s="236"/>
      <c r="D3101" s="236"/>
      <c r="E3101" s="237"/>
      <c r="G3101" s="237"/>
      <c r="H3101" s="237"/>
      <c r="I3101" s="237"/>
      <c r="K3101" s="237"/>
      <c r="N3101" s="237"/>
      <c r="O3101" s="237"/>
      <c r="P3101" s="237"/>
      <c r="Q3101" s="237"/>
      <c r="AL3101" s="226"/>
      <c r="AM3101" s="226"/>
    </row>
    <row r="3102" spans="1:39" x14ac:dyDescent="0.25">
      <c r="AA3102" s="237"/>
      <c r="AB3102" s="237"/>
      <c r="AC3102" s="237"/>
      <c r="AD3102" s="237"/>
      <c r="AE3102" s="237"/>
      <c r="AF3102" s="237"/>
      <c r="AG3102" s="237"/>
      <c r="AH3102" s="237"/>
      <c r="AJ3102" s="238"/>
    </row>
    <row r="3103" spans="1:39" ht="12.75" x14ac:dyDescent="0.2">
      <c r="AL3103" s="226"/>
      <c r="AM3103" s="226"/>
    </row>
    <row r="3104" spans="1:39" ht="12.75" x14ac:dyDescent="0.2">
      <c r="A3104" s="236"/>
      <c r="B3104" s="236"/>
      <c r="C3104" s="236"/>
      <c r="D3104" s="236"/>
      <c r="E3104" s="237"/>
      <c r="G3104" s="237"/>
      <c r="H3104" s="237"/>
      <c r="I3104" s="237"/>
      <c r="K3104" s="237"/>
      <c r="N3104" s="237"/>
      <c r="O3104" s="237"/>
      <c r="P3104" s="237"/>
      <c r="Q3104" s="237"/>
      <c r="AL3104" s="226"/>
      <c r="AM3104" s="226"/>
    </row>
    <row r="3105" spans="1:39" x14ac:dyDescent="0.25">
      <c r="AA3105" s="237"/>
      <c r="AB3105" s="237"/>
      <c r="AC3105" s="237"/>
      <c r="AD3105" s="237"/>
      <c r="AE3105" s="237"/>
      <c r="AF3105" s="237"/>
      <c r="AG3105" s="237"/>
      <c r="AH3105" s="237"/>
      <c r="AJ3105" s="238"/>
    </row>
    <row r="3106" spans="1:39" x14ac:dyDescent="0.25">
      <c r="AA3106" s="237"/>
      <c r="AB3106" s="237"/>
      <c r="AC3106" s="237"/>
      <c r="AD3106" s="237"/>
      <c r="AE3106" s="237"/>
      <c r="AF3106" s="237"/>
      <c r="AG3106" s="237"/>
      <c r="AH3106" s="237"/>
      <c r="AJ3106" s="238"/>
    </row>
    <row r="3107" spans="1:39" x14ac:dyDescent="0.25">
      <c r="AA3107" s="237"/>
      <c r="AB3107" s="237"/>
      <c r="AC3107" s="237"/>
      <c r="AD3107" s="237"/>
      <c r="AE3107" s="237"/>
      <c r="AF3107" s="237"/>
      <c r="AG3107" s="237"/>
      <c r="AH3107" s="237"/>
      <c r="AJ3107" s="238"/>
    </row>
    <row r="3108" spans="1:39" x14ac:dyDescent="0.25">
      <c r="AA3108" s="237"/>
      <c r="AB3108" s="237"/>
      <c r="AC3108" s="237"/>
      <c r="AD3108" s="237"/>
      <c r="AE3108" s="237"/>
      <c r="AF3108" s="237"/>
      <c r="AG3108" s="237"/>
      <c r="AH3108" s="237"/>
      <c r="AJ3108" s="238"/>
    </row>
    <row r="3109" spans="1:39" ht="12.75" x14ac:dyDescent="0.2">
      <c r="AL3109" s="226"/>
      <c r="AM3109" s="226"/>
    </row>
    <row r="3110" spans="1:39" ht="12.75" x14ac:dyDescent="0.2">
      <c r="A3110" s="236"/>
      <c r="B3110" s="236"/>
      <c r="C3110" s="236"/>
      <c r="D3110" s="236"/>
      <c r="E3110" s="237"/>
      <c r="G3110" s="237"/>
      <c r="H3110" s="237"/>
      <c r="I3110" s="237"/>
      <c r="K3110" s="237"/>
      <c r="N3110" s="237"/>
      <c r="O3110" s="237"/>
      <c r="P3110" s="237"/>
      <c r="Q3110" s="237"/>
      <c r="AL3110" s="226"/>
      <c r="AM3110" s="226"/>
    </row>
    <row r="3111" spans="1:39" x14ac:dyDescent="0.25">
      <c r="AA3111" s="237"/>
      <c r="AB3111" s="237"/>
      <c r="AC3111" s="237"/>
      <c r="AD3111" s="237"/>
      <c r="AE3111" s="237"/>
      <c r="AF3111" s="237"/>
      <c r="AG3111" s="237"/>
      <c r="AH3111" s="237"/>
      <c r="AJ3111" s="238"/>
    </row>
    <row r="3112" spans="1:39" x14ac:dyDescent="0.25">
      <c r="AA3112" s="237"/>
      <c r="AB3112" s="237"/>
      <c r="AC3112" s="237"/>
      <c r="AD3112" s="237"/>
      <c r="AE3112" s="237"/>
      <c r="AF3112" s="237"/>
      <c r="AG3112" s="237"/>
      <c r="AH3112" s="237"/>
      <c r="AJ3112" s="238"/>
    </row>
    <row r="3113" spans="1:39" x14ac:dyDescent="0.25">
      <c r="AA3113" s="237"/>
      <c r="AB3113" s="237"/>
      <c r="AC3113" s="237"/>
      <c r="AD3113" s="237"/>
      <c r="AE3113" s="237"/>
      <c r="AF3113" s="237"/>
      <c r="AG3113" s="237"/>
      <c r="AH3113" s="237"/>
      <c r="AJ3113" s="238"/>
    </row>
    <row r="3114" spans="1:39" x14ac:dyDescent="0.25">
      <c r="AA3114" s="237"/>
      <c r="AB3114" s="237"/>
      <c r="AC3114" s="237"/>
      <c r="AD3114" s="237"/>
      <c r="AE3114" s="237"/>
      <c r="AF3114" s="237"/>
      <c r="AG3114" s="237"/>
      <c r="AH3114" s="237"/>
      <c r="AJ3114" s="238"/>
    </row>
    <row r="3115" spans="1:39" x14ac:dyDescent="0.25">
      <c r="AA3115" s="237"/>
      <c r="AB3115" s="237"/>
      <c r="AC3115" s="237"/>
      <c r="AD3115" s="237"/>
      <c r="AE3115" s="237"/>
      <c r="AF3115" s="237"/>
      <c r="AG3115" s="237"/>
      <c r="AH3115" s="237"/>
      <c r="AJ3115" s="238"/>
    </row>
    <row r="3116" spans="1:39" x14ac:dyDescent="0.25">
      <c r="AA3116" s="237"/>
      <c r="AB3116" s="237"/>
      <c r="AC3116" s="237"/>
      <c r="AD3116" s="237"/>
      <c r="AE3116" s="237"/>
      <c r="AF3116" s="237"/>
      <c r="AG3116" s="237"/>
      <c r="AH3116" s="237"/>
      <c r="AJ3116" s="238"/>
    </row>
    <row r="3117" spans="1:39" x14ac:dyDescent="0.25">
      <c r="AA3117" s="237"/>
      <c r="AB3117" s="237"/>
      <c r="AC3117" s="237"/>
      <c r="AD3117" s="237"/>
      <c r="AE3117" s="237"/>
      <c r="AF3117" s="237"/>
      <c r="AG3117" s="237"/>
      <c r="AH3117" s="237"/>
      <c r="AJ3117" s="238"/>
    </row>
    <row r="3118" spans="1:39" x14ac:dyDescent="0.25">
      <c r="AA3118" s="237"/>
      <c r="AB3118" s="237"/>
      <c r="AC3118" s="237"/>
      <c r="AD3118" s="237"/>
      <c r="AE3118" s="237"/>
      <c r="AF3118" s="237"/>
      <c r="AG3118" s="237"/>
      <c r="AH3118" s="237"/>
      <c r="AJ3118" s="238"/>
    </row>
    <row r="3119" spans="1:39" ht="12.75" x14ac:dyDescent="0.2">
      <c r="AL3119" s="226"/>
      <c r="AM3119" s="226"/>
    </row>
    <row r="3120" spans="1:39" ht="12.75" x14ac:dyDescent="0.2">
      <c r="A3120" s="236"/>
      <c r="B3120" s="236"/>
      <c r="C3120" s="236"/>
      <c r="D3120" s="236"/>
      <c r="E3120" s="237"/>
      <c r="G3120" s="237"/>
      <c r="H3120" s="237"/>
      <c r="I3120" s="237"/>
      <c r="K3120" s="237"/>
      <c r="N3120" s="237"/>
      <c r="O3120" s="237"/>
      <c r="P3120" s="237"/>
      <c r="Q3120" s="237"/>
      <c r="AL3120" s="226"/>
      <c r="AM3120" s="226"/>
    </row>
    <row r="3121" spans="1:39" x14ac:dyDescent="0.25">
      <c r="AA3121" s="237"/>
      <c r="AB3121" s="237"/>
      <c r="AC3121" s="237"/>
      <c r="AD3121" s="237"/>
      <c r="AE3121" s="237"/>
      <c r="AF3121" s="237"/>
      <c r="AG3121" s="237"/>
      <c r="AH3121" s="237"/>
      <c r="AJ3121" s="238"/>
    </row>
    <row r="3122" spans="1:39" x14ac:dyDescent="0.25">
      <c r="AA3122" s="237"/>
      <c r="AB3122" s="237"/>
      <c r="AC3122" s="237"/>
      <c r="AD3122" s="237"/>
      <c r="AE3122" s="237"/>
      <c r="AF3122" s="237"/>
      <c r="AG3122" s="237"/>
      <c r="AH3122" s="237"/>
      <c r="AJ3122" s="238"/>
    </row>
    <row r="3123" spans="1:39" x14ac:dyDescent="0.25">
      <c r="AA3123" s="237"/>
      <c r="AB3123" s="237"/>
      <c r="AC3123" s="237"/>
      <c r="AD3123" s="237"/>
      <c r="AE3123" s="237"/>
      <c r="AF3123" s="237"/>
      <c r="AG3123" s="237"/>
      <c r="AH3123" s="237"/>
      <c r="AJ3123" s="238"/>
    </row>
    <row r="3124" spans="1:39" x14ac:dyDescent="0.25">
      <c r="AA3124" s="237"/>
      <c r="AB3124" s="237"/>
      <c r="AC3124" s="237"/>
      <c r="AD3124" s="237"/>
      <c r="AE3124" s="237"/>
      <c r="AF3124" s="237"/>
      <c r="AG3124" s="237"/>
      <c r="AH3124" s="237"/>
      <c r="AJ3124" s="238"/>
    </row>
    <row r="3125" spans="1:39" x14ac:dyDescent="0.25">
      <c r="AA3125" s="237"/>
      <c r="AB3125" s="237"/>
      <c r="AC3125" s="237"/>
      <c r="AD3125" s="237"/>
      <c r="AE3125" s="237"/>
      <c r="AF3125" s="237"/>
      <c r="AG3125" s="237"/>
      <c r="AH3125" s="237"/>
      <c r="AJ3125" s="238"/>
    </row>
    <row r="3126" spans="1:39" ht="12.75" x14ac:dyDescent="0.2">
      <c r="AL3126" s="226"/>
      <c r="AM3126" s="226"/>
    </row>
    <row r="3127" spans="1:39" ht="12.75" x14ac:dyDescent="0.2">
      <c r="A3127" s="236"/>
      <c r="B3127" s="236"/>
      <c r="C3127" s="236"/>
      <c r="D3127" s="236"/>
      <c r="E3127" s="237"/>
      <c r="G3127" s="237"/>
      <c r="H3127" s="237"/>
      <c r="I3127" s="237"/>
      <c r="K3127" s="237"/>
      <c r="N3127" s="237"/>
      <c r="O3127" s="237"/>
      <c r="P3127" s="237"/>
      <c r="Q3127" s="237"/>
      <c r="AL3127" s="226"/>
      <c r="AM3127" s="226"/>
    </row>
    <row r="3128" spans="1:39" x14ac:dyDescent="0.25">
      <c r="AA3128" s="237"/>
      <c r="AB3128" s="237"/>
      <c r="AC3128" s="237"/>
      <c r="AD3128" s="237"/>
      <c r="AE3128" s="237"/>
      <c r="AF3128" s="237"/>
      <c r="AG3128" s="237"/>
      <c r="AH3128" s="237"/>
      <c r="AJ3128" s="238"/>
    </row>
    <row r="3129" spans="1:39" ht="12.75" x14ac:dyDescent="0.2">
      <c r="AL3129" s="226"/>
      <c r="AM3129" s="226"/>
    </row>
    <row r="3130" spans="1:39" ht="12.75" x14ac:dyDescent="0.2">
      <c r="A3130" s="236"/>
      <c r="B3130" s="236"/>
      <c r="C3130" s="236"/>
      <c r="D3130" s="236"/>
      <c r="E3130" s="237"/>
      <c r="G3130" s="237"/>
      <c r="H3130" s="237"/>
      <c r="I3130" s="237"/>
      <c r="K3130" s="237"/>
      <c r="N3130" s="237"/>
      <c r="O3130" s="237"/>
      <c r="P3130" s="237"/>
      <c r="Q3130" s="237"/>
      <c r="AL3130" s="226"/>
      <c r="AM3130" s="226"/>
    </row>
    <row r="3131" spans="1:39" x14ac:dyDescent="0.25">
      <c r="AA3131" s="237"/>
      <c r="AB3131" s="237"/>
      <c r="AC3131" s="237"/>
      <c r="AD3131" s="237"/>
      <c r="AE3131" s="237"/>
      <c r="AF3131" s="237"/>
      <c r="AG3131" s="237"/>
      <c r="AH3131" s="237"/>
      <c r="AJ3131" s="238"/>
    </row>
    <row r="3132" spans="1:39" ht="12.75" x14ac:dyDescent="0.2">
      <c r="AL3132" s="226"/>
      <c r="AM3132" s="226"/>
    </row>
    <row r="3133" spans="1:39" ht="12.75" x14ac:dyDescent="0.2">
      <c r="A3133" s="236"/>
      <c r="B3133" s="236"/>
      <c r="C3133" s="236"/>
      <c r="D3133" s="236"/>
      <c r="E3133" s="237"/>
      <c r="G3133" s="237"/>
      <c r="H3133" s="237"/>
      <c r="I3133" s="237"/>
      <c r="K3133" s="237"/>
      <c r="N3133" s="237"/>
      <c r="O3133" s="237"/>
      <c r="P3133" s="237"/>
      <c r="Q3133" s="237"/>
      <c r="AL3133" s="226"/>
      <c r="AM3133" s="226"/>
    </row>
    <row r="3134" spans="1:39" x14ac:dyDescent="0.25">
      <c r="AA3134" s="237"/>
      <c r="AB3134" s="237"/>
      <c r="AC3134" s="237"/>
      <c r="AD3134" s="237"/>
      <c r="AE3134" s="237"/>
      <c r="AF3134" s="237"/>
      <c r="AG3134" s="237"/>
      <c r="AH3134" s="237"/>
      <c r="AJ3134" s="238"/>
    </row>
    <row r="3135" spans="1:39" x14ac:dyDescent="0.25">
      <c r="AA3135" s="237"/>
      <c r="AB3135" s="237"/>
      <c r="AC3135" s="237"/>
      <c r="AD3135" s="237"/>
      <c r="AE3135" s="237"/>
      <c r="AF3135" s="237"/>
      <c r="AG3135" s="237"/>
      <c r="AH3135" s="237"/>
      <c r="AJ3135" s="238"/>
    </row>
    <row r="3136" spans="1:39" x14ac:dyDescent="0.25">
      <c r="AA3136" s="237"/>
      <c r="AB3136" s="237"/>
      <c r="AC3136" s="237"/>
      <c r="AD3136" s="237"/>
      <c r="AE3136" s="237"/>
      <c r="AF3136" s="237"/>
      <c r="AG3136" s="237"/>
      <c r="AH3136" s="237"/>
      <c r="AJ3136" s="238"/>
    </row>
    <row r="3137" spans="1:39" x14ac:dyDescent="0.25">
      <c r="AA3137" s="237"/>
      <c r="AB3137" s="237"/>
      <c r="AC3137" s="237"/>
      <c r="AD3137" s="237"/>
      <c r="AE3137" s="237"/>
      <c r="AF3137" s="237"/>
      <c r="AG3137" s="237"/>
      <c r="AH3137" s="237"/>
      <c r="AJ3137" s="238"/>
    </row>
    <row r="3138" spans="1:39" ht="12.75" x14ac:dyDescent="0.2">
      <c r="AL3138" s="226"/>
      <c r="AM3138" s="226"/>
    </row>
    <row r="3139" spans="1:39" ht="12.75" x14ac:dyDescent="0.2">
      <c r="A3139" s="236"/>
      <c r="B3139" s="236"/>
      <c r="C3139" s="236"/>
      <c r="D3139" s="236"/>
      <c r="E3139" s="237"/>
      <c r="G3139" s="237"/>
      <c r="H3139" s="237"/>
      <c r="I3139" s="237"/>
      <c r="K3139" s="237"/>
      <c r="N3139" s="237"/>
      <c r="O3139" s="237"/>
      <c r="P3139" s="237"/>
      <c r="Q3139" s="237"/>
      <c r="AL3139" s="226"/>
      <c r="AM3139" s="226"/>
    </row>
    <row r="3140" spans="1:39" x14ac:dyDescent="0.25">
      <c r="AA3140" s="237"/>
      <c r="AB3140" s="237"/>
      <c r="AC3140" s="237"/>
      <c r="AD3140" s="237"/>
      <c r="AE3140" s="237"/>
      <c r="AF3140" s="237"/>
      <c r="AG3140" s="237"/>
      <c r="AH3140" s="237"/>
      <c r="AJ3140" s="238"/>
    </row>
    <row r="3141" spans="1:39" ht="12.75" x14ac:dyDescent="0.2">
      <c r="AL3141" s="226"/>
      <c r="AM3141" s="226"/>
    </row>
    <row r="3142" spans="1:39" ht="12.75" x14ac:dyDescent="0.2">
      <c r="A3142" s="236"/>
      <c r="B3142" s="236"/>
      <c r="C3142" s="236"/>
      <c r="D3142" s="236"/>
      <c r="E3142" s="237"/>
      <c r="G3142" s="237"/>
      <c r="H3142" s="237"/>
      <c r="I3142" s="237"/>
      <c r="K3142" s="237"/>
      <c r="N3142" s="237"/>
      <c r="O3142" s="237"/>
      <c r="P3142" s="237"/>
      <c r="Q3142" s="237"/>
      <c r="AL3142" s="226"/>
      <c r="AM3142" s="226"/>
    </row>
    <row r="3143" spans="1:39" x14ac:dyDescent="0.25">
      <c r="AA3143" s="237"/>
      <c r="AB3143" s="237"/>
      <c r="AC3143" s="237"/>
      <c r="AD3143" s="237"/>
      <c r="AE3143" s="237"/>
      <c r="AF3143" s="237"/>
      <c r="AG3143" s="237"/>
      <c r="AH3143" s="237"/>
      <c r="AJ3143" s="238"/>
    </row>
    <row r="3144" spans="1:39" ht="12.75" x14ac:dyDescent="0.2">
      <c r="AL3144" s="226"/>
      <c r="AM3144" s="226"/>
    </row>
    <row r="3145" spans="1:39" ht="12.75" x14ac:dyDescent="0.2">
      <c r="A3145" s="236"/>
      <c r="B3145" s="236"/>
      <c r="C3145" s="236"/>
      <c r="D3145" s="236"/>
      <c r="E3145" s="237"/>
      <c r="G3145" s="237"/>
      <c r="H3145" s="237"/>
      <c r="I3145" s="237"/>
      <c r="K3145" s="237"/>
      <c r="N3145" s="237"/>
      <c r="O3145" s="237"/>
      <c r="P3145" s="237"/>
      <c r="Q3145" s="237"/>
      <c r="AL3145" s="226"/>
      <c r="AM3145" s="226"/>
    </row>
    <row r="3146" spans="1:39" x14ac:dyDescent="0.25">
      <c r="AA3146" s="237"/>
      <c r="AB3146" s="237"/>
      <c r="AC3146" s="237"/>
      <c r="AD3146" s="237"/>
      <c r="AE3146" s="237"/>
      <c r="AF3146" s="237"/>
      <c r="AG3146" s="237"/>
      <c r="AH3146" s="237"/>
      <c r="AJ3146" s="238"/>
    </row>
    <row r="3147" spans="1:39" ht="12.75" x14ac:dyDescent="0.2">
      <c r="AL3147" s="226"/>
      <c r="AM3147" s="226"/>
    </row>
    <row r="3148" spans="1:39" ht="12.75" x14ac:dyDescent="0.2">
      <c r="A3148" s="236"/>
      <c r="B3148" s="236"/>
      <c r="C3148" s="236"/>
      <c r="D3148" s="236"/>
      <c r="E3148" s="237"/>
      <c r="G3148" s="237"/>
      <c r="H3148" s="237"/>
      <c r="I3148" s="237"/>
      <c r="K3148" s="237"/>
      <c r="N3148" s="237"/>
      <c r="O3148" s="237"/>
      <c r="P3148" s="237"/>
      <c r="Q3148" s="237"/>
      <c r="AL3148" s="226"/>
      <c r="AM3148" s="226"/>
    </row>
    <row r="3149" spans="1:39" x14ac:dyDescent="0.25">
      <c r="AA3149" s="237"/>
      <c r="AB3149" s="237"/>
      <c r="AC3149" s="237"/>
      <c r="AD3149" s="237"/>
      <c r="AE3149" s="237"/>
      <c r="AF3149" s="237"/>
      <c r="AG3149" s="237"/>
      <c r="AH3149" s="237"/>
      <c r="AJ3149" s="238"/>
    </row>
    <row r="3150" spans="1:39" ht="12.75" x14ac:dyDescent="0.2">
      <c r="AL3150" s="226"/>
      <c r="AM3150" s="226"/>
    </row>
    <row r="3151" spans="1:39" ht="12.75" x14ac:dyDescent="0.2">
      <c r="A3151" s="236"/>
      <c r="B3151" s="236"/>
      <c r="C3151" s="236"/>
      <c r="D3151" s="236"/>
      <c r="E3151" s="237"/>
      <c r="G3151" s="237"/>
      <c r="H3151" s="237"/>
      <c r="I3151" s="237"/>
      <c r="K3151" s="237"/>
      <c r="N3151" s="237"/>
      <c r="O3151" s="237"/>
      <c r="P3151" s="237"/>
      <c r="Q3151" s="237"/>
      <c r="AL3151" s="226"/>
      <c r="AM3151" s="226"/>
    </row>
    <row r="3152" spans="1:39" x14ac:dyDescent="0.25">
      <c r="AA3152" s="237"/>
      <c r="AB3152" s="237"/>
      <c r="AC3152" s="237"/>
      <c r="AD3152" s="237"/>
      <c r="AE3152" s="237"/>
      <c r="AF3152" s="237"/>
      <c r="AG3152" s="237"/>
      <c r="AH3152" s="237"/>
      <c r="AJ3152" s="238"/>
    </row>
    <row r="3153" spans="1:39" ht="12.75" x14ac:dyDescent="0.2">
      <c r="AL3153" s="226"/>
      <c r="AM3153" s="226"/>
    </row>
    <row r="3154" spans="1:39" ht="12.75" x14ac:dyDescent="0.2">
      <c r="A3154" s="236"/>
      <c r="B3154" s="236"/>
      <c r="C3154" s="236"/>
      <c r="D3154" s="236"/>
      <c r="E3154" s="237"/>
      <c r="G3154" s="237"/>
      <c r="H3154" s="237"/>
      <c r="I3154" s="237"/>
      <c r="K3154" s="237"/>
      <c r="N3154" s="237"/>
      <c r="O3154" s="237"/>
      <c r="P3154" s="237"/>
      <c r="Q3154" s="237"/>
      <c r="AL3154" s="226"/>
      <c r="AM3154" s="226"/>
    </row>
    <row r="3155" spans="1:39" x14ac:dyDescent="0.25">
      <c r="AA3155" s="237"/>
      <c r="AB3155" s="237"/>
      <c r="AC3155" s="237"/>
      <c r="AD3155" s="237"/>
      <c r="AE3155" s="237"/>
      <c r="AF3155" s="237"/>
      <c r="AG3155" s="237"/>
      <c r="AH3155" s="237"/>
      <c r="AJ3155" s="238"/>
    </row>
    <row r="3156" spans="1:39" x14ac:dyDescent="0.25">
      <c r="AA3156" s="237"/>
      <c r="AB3156" s="237"/>
      <c r="AC3156" s="237"/>
      <c r="AD3156" s="237"/>
      <c r="AE3156" s="237"/>
      <c r="AF3156" s="237"/>
      <c r="AG3156" s="237"/>
      <c r="AH3156" s="237"/>
      <c r="AJ3156" s="238"/>
    </row>
    <row r="3157" spans="1:39" x14ac:dyDescent="0.25">
      <c r="AA3157" s="237"/>
      <c r="AB3157" s="237"/>
      <c r="AC3157" s="237"/>
      <c r="AD3157" s="237"/>
      <c r="AE3157" s="237"/>
      <c r="AF3157" s="237"/>
      <c r="AG3157" s="237"/>
      <c r="AH3157" s="237"/>
      <c r="AJ3157" s="238"/>
    </row>
    <row r="3158" spans="1:39" x14ac:dyDescent="0.25">
      <c r="AA3158" s="237"/>
      <c r="AB3158" s="237"/>
      <c r="AC3158" s="237"/>
      <c r="AD3158" s="237"/>
      <c r="AE3158" s="237"/>
      <c r="AF3158" s="237"/>
      <c r="AG3158" s="237"/>
      <c r="AH3158" s="237"/>
      <c r="AJ3158" s="238"/>
    </row>
    <row r="3159" spans="1:39" ht="12.75" x14ac:dyDescent="0.2">
      <c r="AL3159" s="226"/>
      <c r="AM3159" s="226"/>
    </row>
    <row r="3160" spans="1:39" ht="12.75" x14ac:dyDescent="0.2">
      <c r="A3160" s="236"/>
      <c r="B3160" s="236"/>
      <c r="C3160" s="236"/>
      <c r="D3160" s="236"/>
      <c r="E3160" s="237"/>
      <c r="G3160" s="237"/>
      <c r="H3160" s="237"/>
      <c r="I3160" s="237"/>
      <c r="K3160" s="237"/>
      <c r="N3160" s="237"/>
      <c r="O3160" s="237"/>
      <c r="P3160" s="237"/>
      <c r="Q3160" s="237"/>
      <c r="AL3160" s="226"/>
      <c r="AM3160" s="226"/>
    </row>
    <row r="3161" spans="1:39" x14ac:dyDescent="0.25">
      <c r="AA3161" s="237"/>
      <c r="AB3161" s="237"/>
      <c r="AC3161" s="237"/>
      <c r="AD3161" s="237"/>
      <c r="AE3161" s="237"/>
      <c r="AF3161" s="237"/>
      <c r="AG3161" s="237"/>
      <c r="AH3161" s="237"/>
      <c r="AJ3161" s="238"/>
    </row>
    <row r="3162" spans="1:39" x14ac:dyDescent="0.25">
      <c r="AA3162" s="237"/>
      <c r="AB3162" s="237"/>
      <c r="AC3162" s="237"/>
      <c r="AD3162" s="237"/>
      <c r="AE3162" s="237"/>
      <c r="AF3162" s="237"/>
      <c r="AG3162" s="237"/>
      <c r="AH3162" s="237"/>
      <c r="AJ3162" s="238"/>
    </row>
    <row r="3163" spans="1:39" ht="12.75" x14ac:dyDescent="0.2">
      <c r="AL3163" s="226"/>
      <c r="AM3163" s="226"/>
    </row>
    <row r="3164" spans="1:39" ht="12.75" x14ac:dyDescent="0.2">
      <c r="A3164" s="236"/>
      <c r="B3164" s="236"/>
      <c r="C3164" s="236"/>
      <c r="D3164" s="236"/>
      <c r="E3164" s="237"/>
      <c r="G3164" s="237"/>
      <c r="H3164" s="237"/>
      <c r="I3164" s="237"/>
      <c r="K3164" s="237"/>
      <c r="N3164" s="237"/>
      <c r="O3164" s="237"/>
      <c r="P3164" s="237"/>
      <c r="Q3164" s="237"/>
      <c r="AL3164" s="226"/>
      <c r="AM3164" s="226"/>
    </row>
    <row r="3165" spans="1:39" x14ac:dyDescent="0.25">
      <c r="AA3165" s="237"/>
      <c r="AB3165" s="237"/>
      <c r="AC3165" s="237"/>
      <c r="AD3165" s="237"/>
      <c r="AE3165" s="237"/>
      <c r="AF3165" s="237"/>
      <c r="AG3165" s="237"/>
      <c r="AH3165" s="237"/>
      <c r="AJ3165" s="238"/>
    </row>
    <row r="3166" spans="1:39" x14ac:dyDescent="0.25">
      <c r="AA3166" s="237"/>
      <c r="AB3166" s="237"/>
      <c r="AC3166" s="237"/>
      <c r="AD3166" s="237"/>
      <c r="AE3166" s="237"/>
      <c r="AF3166" s="237"/>
      <c r="AG3166" s="237"/>
      <c r="AH3166" s="237"/>
      <c r="AJ3166" s="238"/>
    </row>
    <row r="3167" spans="1:39" x14ac:dyDescent="0.25">
      <c r="AA3167" s="237"/>
      <c r="AB3167" s="237"/>
      <c r="AC3167" s="237"/>
      <c r="AD3167" s="237"/>
      <c r="AE3167" s="237"/>
      <c r="AF3167" s="237"/>
      <c r="AG3167" s="237"/>
      <c r="AH3167" s="237"/>
      <c r="AJ3167" s="238"/>
    </row>
    <row r="3168" spans="1:39" x14ac:dyDescent="0.25">
      <c r="AA3168" s="237"/>
      <c r="AB3168" s="237"/>
      <c r="AC3168" s="237"/>
      <c r="AD3168" s="237"/>
      <c r="AE3168" s="237"/>
      <c r="AF3168" s="237"/>
      <c r="AG3168" s="237"/>
      <c r="AH3168" s="237"/>
      <c r="AJ3168" s="238"/>
    </row>
    <row r="3169" spans="1:39" x14ac:dyDescent="0.25">
      <c r="AA3169" s="237"/>
      <c r="AB3169" s="237"/>
      <c r="AC3169" s="237"/>
      <c r="AD3169" s="237"/>
      <c r="AE3169" s="237"/>
      <c r="AF3169" s="237"/>
      <c r="AG3169" s="237"/>
      <c r="AH3169" s="237"/>
      <c r="AJ3169" s="238"/>
    </row>
    <row r="3170" spans="1:39" x14ac:dyDescent="0.25">
      <c r="AA3170" s="237"/>
      <c r="AB3170" s="237"/>
      <c r="AC3170" s="237"/>
      <c r="AD3170" s="237"/>
      <c r="AE3170" s="237"/>
      <c r="AF3170" s="237"/>
      <c r="AG3170" s="237"/>
      <c r="AH3170" s="237"/>
      <c r="AJ3170" s="238"/>
    </row>
    <row r="3171" spans="1:39" x14ac:dyDescent="0.25">
      <c r="AA3171" s="237"/>
      <c r="AB3171" s="237"/>
      <c r="AC3171" s="237"/>
      <c r="AD3171" s="237"/>
      <c r="AE3171" s="237"/>
      <c r="AF3171" s="237"/>
      <c r="AG3171" s="237"/>
      <c r="AH3171" s="237"/>
      <c r="AJ3171" s="238"/>
    </row>
    <row r="3172" spans="1:39" x14ac:dyDescent="0.25">
      <c r="AA3172" s="237"/>
      <c r="AB3172" s="237"/>
      <c r="AC3172" s="237"/>
      <c r="AD3172" s="237"/>
      <c r="AE3172" s="237"/>
      <c r="AF3172" s="237"/>
      <c r="AG3172" s="237"/>
      <c r="AH3172" s="237"/>
      <c r="AJ3172" s="238"/>
    </row>
    <row r="3173" spans="1:39" ht="12.75" x14ac:dyDescent="0.2">
      <c r="AL3173" s="226"/>
      <c r="AM3173" s="226"/>
    </row>
    <row r="3174" spans="1:39" ht="12.75" x14ac:dyDescent="0.2">
      <c r="A3174" s="236"/>
      <c r="B3174" s="236"/>
      <c r="C3174" s="236"/>
      <c r="D3174" s="236"/>
      <c r="E3174" s="237"/>
      <c r="G3174" s="237"/>
      <c r="H3174" s="237"/>
      <c r="I3174" s="237"/>
      <c r="K3174" s="237"/>
      <c r="N3174" s="237"/>
      <c r="O3174" s="237"/>
      <c r="P3174" s="237"/>
      <c r="Q3174" s="237"/>
      <c r="AL3174" s="226"/>
      <c r="AM3174" s="226"/>
    </row>
    <row r="3175" spans="1:39" x14ac:dyDescent="0.25">
      <c r="AA3175" s="237"/>
      <c r="AB3175" s="237"/>
      <c r="AC3175" s="237"/>
      <c r="AD3175" s="237"/>
      <c r="AE3175" s="237"/>
      <c r="AF3175" s="237"/>
      <c r="AG3175" s="237"/>
      <c r="AH3175" s="237"/>
      <c r="AJ3175" s="238"/>
    </row>
    <row r="3176" spans="1:39" x14ac:dyDescent="0.25">
      <c r="AA3176" s="237"/>
      <c r="AB3176" s="237"/>
      <c r="AC3176" s="237"/>
      <c r="AD3176" s="237"/>
      <c r="AE3176" s="237"/>
      <c r="AF3176" s="237"/>
      <c r="AG3176" s="237"/>
      <c r="AH3176" s="237"/>
      <c r="AJ3176" s="238"/>
    </row>
    <row r="3177" spans="1:39" x14ac:dyDescent="0.25">
      <c r="AA3177" s="237"/>
      <c r="AB3177" s="237"/>
      <c r="AC3177" s="237"/>
      <c r="AD3177" s="237"/>
      <c r="AE3177" s="237"/>
      <c r="AF3177" s="237"/>
      <c r="AG3177" s="237"/>
      <c r="AH3177" s="237"/>
      <c r="AJ3177" s="238"/>
    </row>
    <row r="3178" spans="1:39" x14ac:dyDescent="0.25">
      <c r="AA3178" s="237"/>
      <c r="AB3178" s="237"/>
      <c r="AC3178" s="237"/>
      <c r="AD3178" s="237"/>
      <c r="AE3178" s="237"/>
      <c r="AF3178" s="237"/>
      <c r="AG3178" s="237"/>
      <c r="AH3178" s="237"/>
      <c r="AJ3178" s="238"/>
    </row>
    <row r="3179" spans="1:39" x14ac:dyDescent="0.25">
      <c r="AA3179" s="237"/>
      <c r="AB3179" s="237"/>
      <c r="AC3179" s="237"/>
      <c r="AD3179" s="237"/>
      <c r="AE3179" s="237"/>
      <c r="AF3179" s="237"/>
      <c r="AG3179" s="237"/>
      <c r="AH3179" s="237"/>
      <c r="AJ3179" s="238"/>
    </row>
    <row r="3180" spans="1:39" x14ac:dyDescent="0.25">
      <c r="AA3180" s="237"/>
      <c r="AB3180" s="237"/>
      <c r="AC3180" s="237"/>
      <c r="AD3180" s="237"/>
      <c r="AE3180" s="237"/>
      <c r="AF3180" s="237"/>
      <c r="AG3180" s="237"/>
      <c r="AH3180" s="237"/>
      <c r="AJ3180" s="238"/>
    </row>
    <row r="3181" spans="1:39" ht="12.75" x14ac:dyDescent="0.2">
      <c r="AL3181" s="226"/>
      <c r="AM3181" s="226"/>
    </row>
    <row r="3182" spans="1:39" ht="12.75" x14ac:dyDescent="0.2">
      <c r="A3182" s="236"/>
      <c r="B3182" s="236"/>
      <c r="C3182" s="236"/>
      <c r="D3182" s="236"/>
      <c r="E3182" s="237"/>
      <c r="G3182" s="237"/>
      <c r="H3182" s="237"/>
      <c r="I3182" s="237"/>
      <c r="K3182" s="237"/>
      <c r="N3182" s="237"/>
      <c r="O3182" s="237"/>
      <c r="P3182" s="237"/>
      <c r="Q3182" s="237"/>
      <c r="AL3182" s="226"/>
      <c r="AM3182" s="226"/>
    </row>
    <row r="3183" spans="1:39" x14ac:dyDescent="0.25">
      <c r="AA3183" s="237"/>
      <c r="AB3183" s="237"/>
      <c r="AC3183" s="237"/>
      <c r="AD3183" s="237"/>
      <c r="AE3183" s="237"/>
      <c r="AF3183" s="237"/>
      <c r="AG3183" s="237"/>
      <c r="AH3183" s="237"/>
      <c r="AJ3183" s="238"/>
    </row>
    <row r="3184" spans="1:39" x14ac:dyDescent="0.25">
      <c r="AA3184" s="237"/>
      <c r="AB3184" s="237"/>
      <c r="AC3184" s="237"/>
      <c r="AD3184" s="237"/>
      <c r="AE3184" s="237"/>
      <c r="AF3184" s="237"/>
      <c r="AG3184" s="237"/>
      <c r="AH3184" s="237"/>
      <c r="AJ3184" s="238"/>
    </row>
    <row r="3185" spans="1:39" x14ac:dyDescent="0.25">
      <c r="AA3185" s="237"/>
      <c r="AB3185" s="237"/>
      <c r="AC3185" s="237"/>
      <c r="AD3185" s="237"/>
      <c r="AE3185" s="237"/>
      <c r="AF3185" s="237"/>
      <c r="AG3185" s="237"/>
      <c r="AH3185" s="237"/>
      <c r="AJ3185" s="238"/>
    </row>
    <row r="3186" spans="1:39" ht="12.75" x14ac:dyDescent="0.2">
      <c r="AL3186" s="226"/>
      <c r="AM3186" s="226"/>
    </row>
    <row r="3187" spans="1:39" ht="12.75" x14ac:dyDescent="0.2">
      <c r="A3187" s="236"/>
      <c r="B3187" s="236"/>
      <c r="C3187" s="236"/>
      <c r="D3187" s="236"/>
      <c r="E3187" s="237"/>
      <c r="G3187" s="237"/>
      <c r="H3187" s="237"/>
      <c r="I3187" s="237"/>
      <c r="K3187" s="237"/>
      <c r="N3187" s="237"/>
      <c r="O3187" s="237"/>
      <c r="P3187" s="237"/>
      <c r="Q3187" s="237"/>
      <c r="AL3187" s="226"/>
      <c r="AM3187" s="226"/>
    </row>
    <row r="3188" spans="1:39" x14ac:dyDescent="0.25">
      <c r="AA3188" s="237"/>
      <c r="AB3188" s="237"/>
      <c r="AC3188" s="237"/>
      <c r="AD3188" s="237"/>
      <c r="AE3188" s="237"/>
      <c r="AF3188" s="237"/>
      <c r="AG3188" s="237"/>
      <c r="AH3188" s="237"/>
      <c r="AJ3188" s="238"/>
    </row>
    <row r="3189" spans="1:39" ht="12.75" x14ac:dyDescent="0.2">
      <c r="AL3189" s="226"/>
      <c r="AM3189" s="226"/>
    </row>
    <row r="3190" spans="1:39" ht="12.75" x14ac:dyDescent="0.2">
      <c r="A3190" s="236"/>
      <c r="B3190" s="236"/>
      <c r="C3190" s="236"/>
      <c r="D3190" s="236"/>
      <c r="E3190" s="237"/>
      <c r="G3190" s="237"/>
      <c r="H3190" s="237"/>
      <c r="I3190" s="237"/>
      <c r="K3190" s="237"/>
      <c r="N3190" s="237"/>
      <c r="O3190" s="237"/>
      <c r="P3190" s="237"/>
      <c r="Q3190" s="237"/>
      <c r="AL3190" s="226"/>
      <c r="AM3190" s="226"/>
    </row>
    <row r="3191" spans="1:39" x14ac:dyDescent="0.25">
      <c r="AA3191" s="237"/>
      <c r="AB3191" s="237"/>
      <c r="AC3191" s="237"/>
      <c r="AD3191" s="237"/>
      <c r="AE3191" s="237"/>
      <c r="AF3191" s="237"/>
      <c r="AG3191" s="237"/>
      <c r="AH3191" s="237"/>
      <c r="AJ3191" s="238"/>
    </row>
    <row r="3192" spans="1:39" x14ac:dyDescent="0.25">
      <c r="AA3192" s="237"/>
      <c r="AB3192" s="237"/>
      <c r="AC3192" s="237"/>
      <c r="AD3192" s="237"/>
      <c r="AE3192" s="237"/>
      <c r="AF3192" s="237"/>
      <c r="AG3192" s="237"/>
      <c r="AH3192" s="237"/>
      <c r="AJ3192" s="238"/>
    </row>
    <row r="3193" spans="1:39" ht="12.75" x14ac:dyDescent="0.2">
      <c r="AL3193" s="226"/>
      <c r="AM3193" s="226"/>
    </row>
    <row r="3194" spans="1:39" ht="12.75" x14ac:dyDescent="0.2">
      <c r="A3194" s="236"/>
      <c r="B3194" s="236"/>
      <c r="C3194" s="236"/>
      <c r="D3194" s="236"/>
      <c r="E3194" s="237"/>
      <c r="G3194" s="237"/>
      <c r="H3194" s="237"/>
      <c r="I3194" s="237"/>
      <c r="K3194" s="237"/>
      <c r="N3194" s="237"/>
      <c r="O3194" s="237"/>
      <c r="P3194" s="237"/>
      <c r="Q3194" s="237"/>
      <c r="AL3194" s="226"/>
      <c r="AM3194" s="226"/>
    </row>
    <row r="3195" spans="1:39" x14ac:dyDescent="0.25">
      <c r="AA3195" s="237"/>
      <c r="AB3195" s="237"/>
      <c r="AC3195" s="237"/>
      <c r="AD3195" s="237"/>
      <c r="AE3195" s="237"/>
      <c r="AF3195" s="237"/>
      <c r="AG3195" s="237"/>
      <c r="AH3195" s="237"/>
      <c r="AJ3195" s="238"/>
    </row>
    <row r="3196" spans="1:39" x14ac:dyDescent="0.25">
      <c r="AA3196" s="237"/>
      <c r="AB3196" s="237"/>
      <c r="AC3196" s="237"/>
      <c r="AD3196" s="237"/>
      <c r="AE3196" s="237"/>
      <c r="AF3196" s="237"/>
      <c r="AG3196" s="237"/>
      <c r="AH3196" s="237"/>
      <c r="AJ3196" s="238"/>
    </row>
    <row r="3197" spans="1:39" x14ac:dyDescent="0.25">
      <c r="AA3197" s="237"/>
      <c r="AB3197" s="237"/>
      <c r="AC3197" s="237"/>
      <c r="AD3197" s="237"/>
      <c r="AE3197" s="237"/>
      <c r="AF3197" s="237"/>
      <c r="AG3197" s="237"/>
      <c r="AH3197" s="237"/>
      <c r="AJ3197" s="238"/>
    </row>
    <row r="3198" spans="1:39" x14ac:dyDescent="0.25">
      <c r="AA3198" s="237"/>
      <c r="AB3198" s="237"/>
      <c r="AC3198" s="237"/>
      <c r="AD3198" s="237"/>
      <c r="AE3198" s="237"/>
      <c r="AF3198" s="237"/>
      <c r="AG3198" s="237"/>
      <c r="AH3198" s="237"/>
      <c r="AJ3198" s="238"/>
    </row>
    <row r="3199" spans="1:39" x14ac:dyDescent="0.25">
      <c r="AA3199" s="237"/>
      <c r="AB3199" s="237"/>
      <c r="AC3199" s="237"/>
      <c r="AD3199" s="237"/>
      <c r="AE3199" s="237"/>
      <c r="AF3199" s="237"/>
      <c r="AG3199" s="237"/>
      <c r="AH3199" s="237"/>
      <c r="AJ3199" s="238"/>
    </row>
    <row r="3200" spans="1:39" ht="12.75" x14ac:dyDescent="0.2">
      <c r="AL3200" s="226"/>
      <c r="AM3200" s="226"/>
    </row>
    <row r="3201" spans="1:39" ht="12.75" x14ac:dyDescent="0.2">
      <c r="A3201" s="236"/>
      <c r="B3201" s="236"/>
      <c r="C3201" s="236"/>
      <c r="D3201" s="236"/>
      <c r="E3201" s="237"/>
      <c r="G3201" s="237"/>
      <c r="H3201" s="237"/>
      <c r="I3201" s="237"/>
      <c r="K3201" s="237"/>
      <c r="N3201" s="237"/>
      <c r="O3201" s="237"/>
      <c r="P3201" s="237"/>
      <c r="Q3201" s="237"/>
      <c r="AL3201" s="226"/>
      <c r="AM3201" s="226"/>
    </row>
    <row r="3202" spans="1:39" x14ac:dyDescent="0.25">
      <c r="AA3202" s="237"/>
      <c r="AB3202" s="237"/>
      <c r="AC3202" s="237"/>
      <c r="AD3202" s="237"/>
      <c r="AE3202" s="237"/>
      <c r="AF3202" s="237"/>
      <c r="AG3202" s="237"/>
      <c r="AH3202" s="237"/>
      <c r="AJ3202" s="238"/>
    </row>
    <row r="3203" spans="1:39" ht="12.75" x14ac:dyDescent="0.2">
      <c r="AL3203" s="226"/>
      <c r="AM3203" s="226"/>
    </row>
    <row r="3204" spans="1:39" ht="12.75" x14ac:dyDescent="0.2">
      <c r="A3204" s="236"/>
      <c r="B3204" s="236"/>
      <c r="C3204" s="236"/>
      <c r="D3204" s="236"/>
      <c r="E3204" s="237"/>
      <c r="G3204" s="237"/>
      <c r="H3204" s="237"/>
      <c r="I3204" s="237"/>
      <c r="K3204" s="237"/>
      <c r="N3204" s="237"/>
      <c r="O3204" s="237"/>
      <c r="P3204" s="237"/>
      <c r="Q3204" s="237"/>
      <c r="AL3204" s="226"/>
      <c r="AM3204" s="226"/>
    </row>
    <row r="3205" spans="1:39" x14ac:dyDescent="0.25">
      <c r="AA3205" s="237"/>
      <c r="AB3205" s="237"/>
      <c r="AC3205" s="237"/>
      <c r="AD3205" s="237"/>
      <c r="AE3205" s="237"/>
      <c r="AF3205" s="237"/>
      <c r="AG3205" s="237"/>
      <c r="AH3205" s="237"/>
      <c r="AJ3205" s="238"/>
    </row>
    <row r="3206" spans="1:39" ht="12.75" x14ac:dyDescent="0.2">
      <c r="AL3206" s="226"/>
      <c r="AM3206" s="226"/>
    </row>
    <row r="3207" spans="1:39" ht="12.75" x14ac:dyDescent="0.2">
      <c r="A3207" s="236"/>
      <c r="B3207" s="236"/>
      <c r="C3207" s="236"/>
      <c r="D3207" s="236"/>
      <c r="E3207" s="237"/>
      <c r="G3207" s="237"/>
      <c r="H3207" s="237"/>
      <c r="I3207" s="237"/>
      <c r="K3207" s="237"/>
      <c r="N3207" s="237"/>
      <c r="O3207" s="237"/>
      <c r="P3207" s="237"/>
      <c r="Q3207" s="237"/>
      <c r="AL3207" s="226"/>
      <c r="AM3207" s="226"/>
    </row>
    <row r="3208" spans="1:39" x14ac:dyDescent="0.25">
      <c r="AA3208" s="237"/>
      <c r="AB3208" s="237"/>
      <c r="AC3208" s="237"/>
      <c r="AD3208" s="237"/>
      <c r="AE3208" s="237"/>
      <c r="AF3208" s="237"/>
      <c r="AG3208" s="237"/>
      <c r="AH3208" s="237"/>
      <c r="AJ3208" s="238"/>
    </row>
    <row r="3209" spans="1:39" x14ac:dyDescent="0.25">
      <c r="AA3209" s="237"/>
      <c r="AB3209" s="237"/>
      <c r="AC3209" s="237"/>
      <c r="AD3209" s="237"/>
      <c r="AE3209" s="237"/>
      <c r="AF3209" s="237"/>
      <c r="AG3209" s="237"/>
      <c r="AH3209" s="237"/>
      <c r="AJ3209" s="238"/>
    </row>
    <row r="3210" spans="1:39" x14ac:dyDescent="0.25">
      <c r="AA3210" s="237"/>
      <c r="AB3210" s="237"/>
      <c r="AC3210" s="237"/>
      <c r="AD3210" s="237"/>
      <c r="AE3210" s="237"/>
      <c r="AF3210" s="237"/>
      <c r="AG3210" s="237"/>
      <c r="AH3210" s="237"/>
      <c r="AJ3210" s="238"/>
    </row>
    <row r="3211" spans="1:39" ht="12.75" x14ac:dyDescent="0.2">
      <c r="AL3211" s="226"/>
      <c r="AM3211" s="226"/>
    </row>
    <row r="3212" spans="1:39" ht="12.75" x14ac:dyDescent="0.2">
      <c r="A3212" s="236"/>
      <c r="B3212" s="236"/>
      <c r="C3212" s="236"/>
      <c r="D3212" s="236"/>
      <c r="E3212" s="237"/>
      <c r="G3212" s="237"/>
      <c r="H3212" s="237"/>
      <c r="I3212" s="237"/>
      <c r="K3212" s="237"/>
      <c r="N3212" s="237"/>
      <c r="O3212" s="237"/>
      <c r="P3212" s="237"/>
      <c r="Q3212" s="237"/>
      <c r="AL3212" s="226"/>
      <c r="AM3212" s="226"/>
    </row>
    <row r="3213" spans="1:39" x14ac:dyDescent="0.25">
      <c r="AA3213" s="237"/>
      <c r="AB3213" s="237"/>
      <c r="AC3213" s="237"/>
      <c r="AD3213" s="237"/>
      <c r="AE3213" s="237"/>
      <c r="AF3213" s="237"/>
      <c r="AG3213" s="237"/>
      <c r="AH3213" s="237"/>
      <c r="AJ3213" s="238"/>
    </row>
    <row r="3214" spans="1:39" x14ac:dyDescent="0.25">
      <c r="AA3214" s="237"/>
      <c r="AB3214" s="237"/>
      <c r="AC3214" s="237"/>
      <c r="AD3214" s="237"/>
      <c r="AE3214" s="237"/>
      <c r="AF3214" s="237"/>
      <c r="AG3214" s="237"/>
      <c r="AH3214" s="237"/>
      <c r="AJ3214" s="238"/>
    </row>
    <row r="3215" spans="1:39" x14ac:dyDescent="0.25">
      <c r="AA3215" s="237"/>
      <c r="AB3215" s="237"/>
      <c r="AC3215" s="237"/>
      <c r="AD3215" s="237"/>
      <c r="AE3215" s="237"/>
      <c r="AF3215" s="237"/>
      <c r="AG3215" s="237"/>
      <c r="AH3215" s="237"/>
      <c r="AJ3215" s="238"/>
    </row>
    <row r="3216" spans="1:39" ht="12.75" x14ac:dyDescent="0.2">
      <c r="AL3216" s="226"/>
      <c r="AM3216" s="226"/>
    </row>
    <row r="3217" spans="1:39" ht="12.75" x14ac:dyDescent="0.2">
      <c r="A3217" s="236"/>
      <c r="B3217" s="236"/>
      <c r="C3217" s="236"/>
      <c r="D3217" s="236"/>
      <c r="E3217" s="237"/>
      <c r="G3217" s="237"/>
      <c r="H3217" s="237"/>
      <c r="I3217" s="237"/>
      <c r="K3217" s="237"/>
      <c r="N3217" s="237"/>
      <c r="O3217" s="237"/>
      <c r="P3217" s="237"/>
      <c r="Q3217" s="237"/>
      <c r="AL3217" s="226"/>
      <c r="AM3217" s="226"/>
    </row>
    <row r="3218" spans="1:39" x14ac:dyDescent="0.25">
      <c r="AA3218" s="237"/>
      <c r="AB3218" s="237"/>
      <c r="AC3218" s="237"/>
      <c r="AD3218" s="237"/>
      <c r="AE3218" s="237"/>
      <c r="AF3218" s="237"/>
      <c r="AG3218" s="237"/>
      <c r="AH3218" s="237"/>
      <c r="AJ3218" s="238"/>
    </row>
    <row r="3219" spans="1:39" ht="12.75" x14ac:dyDescent="0.2">
      <c r="AL3219" s="226"/>
      <c r="AM3219" s="226"/>
    </row>
    <row r="3220" spans="1:39" ht="12.75" x14ac:dyDescent="0.2">
      <c r="A3220" s="236"/>
      <c r="B3220" s="236"/>
      <c r="C3220" s="236"/>
      <c r="D3220" s="236"/>
      <c r="E3220" s="237"/>
      <c r="G3220" s="237"/>
      <c r="H3220" s="237"/>
      <c r="I3220" s="237"/>
      <c r="K3220" s="237"/>
      <c r="N3220" s="237"/>
      <c r="O3220" s="237"/>
      <c r="P3220" s="237"/>
      <c r="Q3220" s="237"/>
      <c r="AL3220" s="226"/>
      <c r="AM3220" s="226"/>
    </row>
    <row r="3221" spans="1:39" x14ac:dyDescent="0.25">
      <c r="AA3221" s="237"/>
      <c r="AB3221" s="237"/>
      <c r="AC3221" s="237"/>
      <c r="AD3221" s="237"/>
      <c r="AE3221" s="237"/>
      <c r="AF3221" s="237"/>
      <c r="AG3221" s="237"/>
      <c r="AH3221" s="237"/>
      <c r="AJ3221" s="238"/>
    </row>
    <row r="3222" spans="1:39" x14ac:dyDescent="0.25">
      <c r="AA3222" s="237"/>
      <c r="AB3222" s="237"/>
      <c r="AC3222" s="237"/>
      <c r="AD3222" s="237"/>
      <c r="AE3222" s="237"/>
      <c r="AF3222" s="237"/>
      <c r="AG3222" s="237"/>
      <c r="AH3222" s="237"/>
      <c r="AJ3222" s="238"/>
    </row>
    <row r="3223" spans="1:39" x14ac:dyDescent="0.25">
      <c r="AA3223" s="237"/>
      <c r="AB3223" s="237"/>
      <c r="AC3223" s="237"/>
      <c r="AD3223" s="237"/>
      <c r="AE3223" s="237"/>
      <c r="AF3223" s="237"/>
      <c r="AG3223" s="237"/>
      <c r="AH3223" s="237"/>
      <c r="AJ3223" s="238"/>
    </row>
    <row r="3224" spans="1:39" x14ac:dyDescent="0.25">
      <c r="AA3224" s="237"/>
      <c r="AB3224" s="237"/>
      <c r="AC3224" s="237"/>
      <c r="AD3224" s="237"/>
      <c r="AE3224" s="237"/>
      <c r="AF3224" s="237"/>
      <c r="AG3224" s="237"/>
      <c r="AH3224" s="237"/>
      <c r="AJ3224" s="238"/>
    </row>
    <row r="3225" spans="1:39" ht="12.75" x14ac:dyDescent="0.2">
      <c r="AL3225" s="226"/>
      <c r="AM3225" s="226"/>
    </row>
    <row r="3226" spans="1:39" ht="12.75" x14ac:dyDescent="0.2">
      <c r="A3226" s="236"/>
      <c r="B3226" s="236"/>
      <c r="C3226" s="236"/>
      <c r="D3226" s="236"/>
      <c r="E3226" s="237"/>
      <c r="G3226" s="237"/>
      <c r="H3226" s="237"/>
      <c r="I3226" s="237"/>
      <c r="K3226" s="237"/>
      <c r="N3226" s="237"/>
      <c r="O3226" s="237"/>
      <c r="P3226" s="237"/>
      <c r="Q3226" s="237"/>
      <c r="AL3226" s="226"/>
      <c r="AM3226" s="226"/>
    </row>
    <row r="3227" spans="1:39" x14ac:dyDescent="0.25">
      <c r="AA3227" s="237"/>
      <c r="AB3227" s="237"/>
      <c r="AC3227" s="237"/>
      <c r="AD3227" s="237"/>
      <c r="AE3227" s="237"/>
      <c r="AF3227" s="237"/>
      <c r="AG3227" s="237"/>
      <c r="AH3227" s="237"/>
      <c r="AJ3227" s="238"/>
    </row>
    <row r="3228" spans="1:39" ht="12.75" x14ac:dyDescent="0.2">
      <c r="AL3228" s="226"/>
      <c r="AM3228" s="226"/>
    </row>
    <row r="3229" spans="1:39" ht="12.75" x14ac:dyDescent="0.2">
      <c r="A3229" s="236"/>
      <c r="B3229" s="236"/>
      <c r="C3229" s="236"/>
      <c r="D3229" s="236"/>
      <c r="E3229" s="237"/>
      <c r="G3229" s="237"/>
      <c r="H3229" s="237"/>
      <c r="I3229" s="237"/>
      <c r="K3229" s="237"/>
      <c r="N3229" s="237"/>
      <c r="O3229" s="237"/>
      <c r="P3229" s="237"/>
      <c r="Q3229" s="237"/>
      <c r="AL3229" s="226"/>
      <c r="AM3229" s="226"/>
    </row>
    <row r="3230" spans="1:39" x14ac:dyDescent="0.25">
      <c r="AA3230" s="237"/>
      <c r="AB3230" s="237"/>
      <c r="AC3230" s="237"/>
      <c r="AD3230" s="237"/>
      <c r="AE3230" s="237"/>
      <c r="AF3230" s="237"/>
      <c r="AG3230" s="237"/>
      <c r="AH3230" s="237"/>
      <c r="AJ3230" s="238"/>
    </row>
    <row r="3231" spans="1:39" x14ac:dyDescent="0.25">
      <c r="AA3231" s="237"/>
      <c r="AB3231" s="237"/>
      <c r="AC3231" s="237"/>
      <c r="AD3231" s="237"/>
      <c r="AE3231" s="237"/>
      <c r="AF3231" s="237"/>
      <c r="AG3231" s="237"/>
      <c r="AH3231" s="237"/>
      <c r="AJ3231" s="238"/>
    </row>
    <row r="3232" spans="1:39" x14ac:dyDescent="0.25">
      <c r="AA3232" s="237"/>
      <c r="AB3232" s="237"/>
      <c r="AC3232" s="237"/>
      <c r="AD3232" s="237"/>
      <c r="AE3232" s="237"/>
      <c r="AF3232" s="237"/>
      <c r="AG3232" s="237"/>
      <c r="AH3232" s="237"/>
      <c r="AJ3232" s="238"/>
    </row>
    <row r="3233" spans="1:39" ht="12.75" x14ac:dyDescent="0.2">
      <c r="AL3233" s="226"/>
      <c r="AM3233" s="226"/>
    </row>
    <row r="3234" spans="1:39" ht="12.75" x14ac:dyDescent="0.2">
      <c r="A3234" s="236"/>
      <c r="B3234" s="236"/>
      <c r="C3234" s="236"/>
      <c r="D3234" s="236"/>
      <c r="E3234" s="237"/>
      <c r="G3234" s="237"/>
      <c r="H3234" s="237"/>
      <c r="I3234" s="237"/>
      <c r="K3234" s="237"/>
      <c r="N3234" s="237"/>
      <c r="O3234" s="237"/>
      <c r="P3234" s="237"/>
      <c r="Q3234" s="237"/>
      <c r="AL3234" s="226"/>
      <c r="AM3234" s="226"/>
    </row>
    <row r="3235" spans="1:39" x14ac:dyDescent="0.25">
      <c r="AA3235" s="237"/>
      <c r="AB3235" s="237"/>
      <c r="AC3235" s="237"/>
      <c r="AD3235" s="237"/>
      <c r="AE3235" s="237"/>
      <c r="AF3235" s="237"/>
      <c r="AG3235" s="237"/>
      <c r="AH3235" s="237"/>
      <c r="AJ3235" s="238"/>
    </row>
    <row r="3236" spans="1:39" x14ac:dyDescent="0.25">
      <c r="AA3236" s="237"/>
      <c r="AB3236" s="237"/>
      <c r="AC3236" s="237"/>
      <c r="AD3236" s="237"/>
      <c r="AE3236" s="237"/>
      <c r="AF3236" s="237"/>
      <c r="AG3236" s="237"/>
      <c r="AH3236" s="237"/>
      <c r="AJ3236" s="238"/>
    </row>
    <row r="3237" spans="1:39" ht="12.75" x14ac:dyDescent="0.2">
      <c r="AL3237" s="226"/>
      <c r="AM3237" s="226"/>
    </row>
    <row r="3238" spans="1:39" ht="12.75" x14ac:dyDescent="0.2">
      <c r="A3238" s="236"/>
      <c r="B3238" s="236"/>
      <c r="C3238" s="236"/>
      <c r="D3238" s="236"/>
      <c r="E3238" s="237"/>
      <c r="G3238" s="237"/>
      <c r="H3238" s="237"/>
      <c r="I3238" s="237"/>
      <c r="K3238" s="237"/>
      <c r="N3238" s="237"/>
      <c r="O3238" s="237"/>
      <c r="P3238" s="237"/>
      <c r="Q3238" s="237"/>
      <c r="AL3238" s="226"/>
      <c r="AM3238" s="226"/>
    </row>
    <row r="3239" spans="1:39" x14ac:dyDescent="0.25">
      <c r="AA3239" s="237"/>
      <c r="AB3239" s="237"/>
      <c r="AC3239" s="237"/>
      <c r="AD3239" s="237"/>
      <c r="AE3239" s="237"/>
      <c r="AF3239" s="237"/>
      <c r="AG3239" s="237"/>
      <c r="AH3239" s="237"/>
      <c r="AJ3239" s="238"/>
    </row>
    <row r="3240" spans="1:39" x14ac:dyDescent="0.25">
      <c r="AA3240" s="237"/>
      <c r="AB3240" s="237"/>
      <c r="AC3240" s="237"/>
      <c r="AD3240" s="237"/>
      <c r="AE3240" s="237"/>
      <c r="AF3240" s="237"/>
      <c r="AG3240" s="237"/>
      <c r="AH3240" s="237"/>
      <c r="AJ3240" s="238"/>
    </row>
    <row r="3241" spans="1:39" x14ac:dyDescent="0.25">
      <c r="AA3241" s="237"/>
      <c r="AB3241" s="237"/>
      <c r="AC3241" s="237"/>
      <c r="AD3241" s="237"/>
      <c r="AE3241" s="237"/>
      <c r="AF3241" s="237"/>
      <c r="AG3241" s="237"/>
      <c r="AH3241" s="237"/>
      <c r="AJ3241" s="238"/>
    </row>
    <row r="3242" spans="1:39" x14ac:dyDescent="0.25">
      <c r="AA3242" s="237"/>
      <c r="AB3242" s="237"/>
      <c r="AC3242" s="237"/>
      <c r="AD3242" s="237"/>
      <c r="AE3242" s="237"/>
      <c r="AF3242" s="237"/>
      <c r="AG3242" s="237"/>
      <c r="AH3242" s="237"/>
      <c r="AJ3242" s="238"/>
    </row>
    <row r="3243" spans="1:39" ht="12.75" x14ac:dyDescent="0.2">
      <c r="AL3243" s="226"/>
      <c r="AM3243" s="226"/>
    </row>
    <row r="3244" spans="1:39" ht="12.75" x14ac:dyDescent="0.2">
      <c r="A3244" s="236"/>
      <c r="B3244" s="236"/>
      <c r="C3244" s="236"/>
      <c r="D3244" s="236"/>
      <c r="E3244" s="237"/>
      <c r="G3244" s="237"/>
      <c r="H3244" s="237"/>
      <c r="I3244" s="237"/>
      <c r="K3244" s="237"/>
      <c r="N3244" s="237"/>
      <c r="O3244" s="237"/>
      <c r="P3244" s="237"/>
      <c r="Q3244" s="237"/>
      <c r="AL3244" s="226"/>
      <c r="AM3244" s="226"/>
    </row>
    <row r="3245" spans="1:39" x14ac:dyDescent="0.25">
      <c r="AA3245" s="237"/>
      <c r="AB3245" s="237"/>
      <c r="AC3245" s="237"/>
      <c r="AD3245" s="237"/>
      <c r="AE3245" s="237"/>
      <c r="AF3245" s="237"/>
      <c r="AG3245" s="237"/>
      <c r="AH3245" s="237"/>
      <c r="AJ3245" s="238"/>
    </row>
    <row r="3246" spans="1:39" x14ac:dyDescent="0.25">
      <c r="AA3246" s="237"/>
      <c r="AB3246" s="237"/>
      <c r="AC3246" s="237"/>
      <c r="AD3246" s="237"/>
      <c r="AE3246" s="237"/>
      <c r="AF3246" s="237"/>
      <c r="AG3246" s="237"/>
      <c r="AH3246" s="237"/>
      <c r="AJ3246" s="238"/>
    </row>
    <row r="3247" spans="1:39" x14ac:dyDescent="0.25">
      <c r="AA3247" s="237"/>
      <c r="AB3247" s="237"/>
      <c r="AC3247" s="237"/>
      <c r="AD3247" s="237"/>
      <c r="AE3247" s="237"/>
      <c r="AF3247" s="237"/>
      <c r="AG3247" s="237"/>
      <c r="AH3247" s="237"/>
      <c r="AJ3247" s="238"/>
    </row>
    <row r="3248" spans="1:39" x14ac:dyDescent="0.25">
      <c r="AA3248" s="237"/>
      <c r="AB3248" s="237"/>
      <c r="AC3248" s="237"/>
      <c r="AD3248" s="237"/>
      <c r="AE3248" s="237"/>
      <c r="AF3248" s="237"/>
      <c r="AG3248" s="237"/>
      <c r="AH3248" s="237"/>
      <c r="AJ3248" s="238"/>
    </row>
    <row r="3249" spans="1:39" ht="12.75" x14ac:dyDescent="0.2">
      <c r="AL3249" s="226"/>
      <c r="AM3249" s="226"/>
    </row>
    <row r="3250" spans="1:39" ht="12.75" x14ac:dyDescent="0.2">
      <c r="A3250" s="236"/>
      <c r="B3250" s="236"/>
      <c r="C3250" s="236"/>
      <c r="D3250" s="236"/>
      <c r="E3250" s="237"/>
      <c r="G3250" s="237"/>
      <c r="H3250" s="237"/>
      <c r="I3250" s="237"/>
      <c r="K3250" s="237"/>
      <c r="N3250" s="237"/>
      <c r="O3250" s="237"/>
      <c r="P3250" s="237"/>
      <c r="Q3250" s="237"/>
      <c r="AL3250" s="226"/>
      <c r="AM3250" s="226"/>
    </row>
    <row r="3251" spans="1:39" x14ac:dyDescent="0.25">
      <c r="AA3251" s="237"/>
      <c r="AB3251" s="237"/>
      <c r="AC3251" s="237"/>
      <c r="AD3251" s="237"/>
      <c r="AE3251" s="237"/>
      <c r="AF3251" s="237"/>
      <c r="AG3251" s="237"/>
      <c r="AH3251" s="237"/>
      <c r="AJ3251" s="238"/>
    </row>
    <row r="3252" spans="1:39" x14ac:dyDescent="0.25">
      <c r="AA3252" s="237"/>
      <c r="AB3252" s="237"/>
      <c r="AC3252" s="237"/>
      <c r="AD3252" s="237"/>
      <c r="AE3252" s="237"/>
      <c r="AF3252" s="237"/>
      <c r="AG3252" s="237"/>
      <c r="AH3252" s="237"/>
      <c r="AJ3252" s="238"/>
    </row>
    <row r="3253" spans="1:39" x14ac:dyDescent="0.25">
      <c r="AA3253" s="237"/>
      <c r="AB3253" s="237"/>
      <c r="AC3253" s="237"/>
      <c r="AD3253" s="237"/>
      <c r="AE3253" s="237"/>
      <c r="AF3253" s="237"/>
      <c r="AG3253" s="237"/>
      <c r="AH3253" s="237"/>
      <c r="AJ3253" s="238"/>
    </row>
    <row r="3254" spans="1:39" x14ac:dyDescent="0.25">
      <c r="AA3254" s="237"/>
      <c r="AB3254" s="237"/>
      <c r="AC3254" s="237"/>
      <c r="AD3254" s="237"/>
      <c r="AE3254" s="237"/>
      <c r="AF3254" s="237"/>
      <c r="AG3254" s="237"/>
      <c r="AH3254" s="237"/>
      <c r="AJ3254" s="238"/>
    </row>
    <row r="3255" spans="1:39" x14ac:dyDescent="0.25">
      <c r="AA3255" s="237"/>
      <c r="AB3255" s="237"/>
      <c r="AC3255" s="237"/>
      <c r="AD3255" s="237"/>
      <c r="AE3255" s="237"/>
      <c r="AF3255" s="237"/>
      <c r="AG3255" s="237"/>
      <c r="AH3255" s="237"/>
      <c r="AJ3255" s="238"/>
    </row>
    <row r="3256" spans="1:39" x14ac:dyDescent="0.25">
      <c r="AA3256" s="237"/>
      <c r="AB3256" s="237"/>
      <c r="AC3256" s="237"/>
      <c r="AD3256" s="237"/>
      <c r="AE3256" s="237"/>
      <c r="AF3256" s="237"/>
      <c r="AG3256" s="237"/>
      <c r="AH3256" s="237"/>
      <c r="AJ3256" s="238"/>
    </row>
    <row r="3257" spans="1:39" x14ac:dyDescent="0.25">
      <c r="AA3257" s="237"/>
      <c r="AB3257" s="237"/>
      <c r="AC3257" s="237"/>
      <c r="AD3257" s="237"/>
      <c r="AE3257" s="237"/>
      <c r="AF3257" s="237"/>
      <c r="AG3257" s="237"/>
      <c r="AH3257" s="237"/>
      <c r="AJ3257" s="238"/>
    </row>
    <row r="3258" spans="1:39" ht="12.75" x14ac:dyDescent="0.2">
      <c r="AL3258" s="226"/>
      <c r="AM3258" s="226"/>
    </row>
    <row r="3259" spans="1:39" ht="12.75" x14ac:dyDescent="0.2">
      <c r="A3259" s="236"/>
      <c r="B3259" s="236"/>
      <c r="C3259" s="236"/>
      <c r="D3259" s="236"/>
      <c r="E3259" s="237"/>
      <c r="G3259" s="237"/>
      <c r="H3259" s="237"/>
      <c r="I3259" s="237"/>
      <c r="K3259" s="237"/>
      <c r="N3259" s="237"/>
      <c r="O3259" s="237"/>
      <c r="P3259" s="237"/>
      <c r="Q3259" s="237"/>
      <c r="AL3259" s="226"/>
      <c r="AM3259" s="226"/>
    </row>
    <row r="3260" spans="1:39" x14ac:dyDescent="0.25">
      <c r="AA3260" s="237"/>
      <c r="AB3260" s="237"/>
      <c r="AC3260" s="237"/>
      <c r="AD3260" s="237"/>
      <c r="AE3260" s="237"/>
      <c r="AF3260" s="237"/>
      <c r="AG3260" s="237"/>
      <c r="AH3260" s="237"/>
      <c r="AJ3260" s="238"/>
    </row>
    <row r="3261" spans="1:39" ht="12.75" x14ac:dyDescent="0.2">
      <c r="AL3261" s="226"/>
      <c r="AM3261" s="226"/>
    </row>
    <row r="3262" spans="1:39" ht="12.75" x14ac:dyDescent="0.2">
      <c r="A3262" s="236"/>
      <c r="B3262" s="236"/>
      <c r="C3262" s="236"/>
      <c r="D3262" s="236"/>
      <c r="E3262" s="237"/>
      <c r="G3262" s="237"/>
      <c r="H3262" s="237"/>
      <c r="I3262" s="237"/>
      <c r="K3262" s="237"/>
      <c r="N3262" s="237"/>
      <c r="O3262" s="237"/>
      <c r="P3262" s="237"/>
      <c r="Q3262" s="237"/>
      <c r="AL3262" s="226"/>
      <c r="AM3262" s="226"/>
    </row>
    <row r="3263" spans="1:39" x14ac:dyDescent="0.25">
      <c r="AA3263" s="237"/>
      <c r="AB3263" s="237"/>
      <c r="AC3263" s="237"/>
      <c r="AD3263" s="237"/>
      <c r="AE3263" s="237"/>
      <c r="AF3263" s="237"/>
      <c r="AG3263" s="237"/>
      <c r="AH3263" s="237"/>
      <c r="AJ3263" s="238"/>
    </row>
    <row r="3264" spans="1:39" x14ac:dyDescent="0.25">
      <c r="AA3264" s="237"/>
      <c r="AB3264" s="237"/>
      <c r="AC3264" s="237"/>
      <c r="AD3264" s="237"/>
      <c r="AE3264" s="237"/>
      <c r="AF3264" s="237"/>
      <c r="AG3264" s="237"/>
      <c r="AH3264" s="237"/>
      <c r="AJ3264" s="238"/>
    </row>
    <row r="3265" spans="1:39" x14ac:dyDescent="0.25">
      <c r="AA3265" s="237"/>
      <c r="AB3265" s="237"/>
      <c r="AC3265" s="237"/>
      <c r="AD3265" s="237"/>
      <c r="AE3265" s="237"/>
      <c r="AF3265" s="237"/>
      <c r="AG3265" s="237"/>
      <c r="AH3265" s="237"/>
      <c r="AJ3265" s="238"/>
    </row>
    <row r="3266" spans="1:39" x14ac:dyDescent="0.25">
      <c r="AA3266" s="237"/>
      <c r="AB3266" s="237"/>
      <c r="AC3266" s="237"/>
      <c r="AD3266" s="237"/>
      <c r="AE3266" s="237"/>
      <c r="AF3266" s="237"/>
      <c r="AG3266" s="237"/>
      <c r="AH3266" s="237"/>
      <c r="AJ3266" s="238"/>
    </row>
    <row r="3267" spans="1:39" ht="12.75" x14ac:dyDescent="0.2">
      <c r="AL3267" s="226"/>
      <c r="AM3267" s="226"/>
    </row>
    <row r="3268" spans="1:39" ht="12.75" x14ac:dyDescent="0.2">
      <c r="A3268" s="236"/>
      <c r="B3268" s="236"/>
      <c r="C3268" s="236"/>
      <c r="D3268" s="236"/>
      <c r="E3268" s="237"/>
      <c r="G3268" s="237"/>
      <c r="H3268" s="237"/>
      <c r="I3268" s="237"/>
      <c r="K3268" s="237"/>
      <c r="N3268" s="237"/>
      <c r="O3268" s="237"/>
      <c r="P3268" s="237"/>
      <c r="Q3268" s="237"/>
      <c r="AL3268" s="226"/>
      <c r="AM3268" s="226"/>
    </row>
    <row r="3269" spans="1:39" x14ac:dyDescent="0.25">
      <c r="AA3269" s="237"/>
      <c r="AB3269" s="237"/>
      <c r="AC3269" s="237"/>
      <c r="AD3269" s="237"/>
      <c r="AE3269" s="237"/>
      <c r="AF3269" s="237"/>
      <c r="AG3269" s="237"/>
      <c r="AH3269" s="237"/>
      <c r="AJ3269" s="238"/>
    </row>
    <row r="3270" spans="1:39" x14ac:dyDescent="0.25">
      <c r="AA3270" s="237"/>
      <c r="AB3270" s="237"/>
      <c r="AC3270" s="237"/>
      <c r="AD3270" s="237"/>
      <c r="AE3270" s="237"/>
      <c r="AF3270" s="237"/>
      <c r="AG3270" s="237"/>
      <c r="AH3270" s="237"/>
      <c r="AJ3270" s="238"/>
    </row>
    <row r="3271" spans="1:39" x14ac:dyDescent="0.25">
      <c r="AA3271" s="237"/>
      <c r="AB3271" s="237"/>
      <c r="AC3271" s="237"/>
      <c r="AD3271" s="237"/>
      <c r="AE3271" s="237"/>
      <c r="AF3271" s="237"/>
      <c r="AG3271" s="237"/>
      <c r="AH3271" s="237"/>
      <c r="AJ3271" s="238"/>
    </row>
    <row r="3272" spans="1:39" x14ac:dyDescent="0.25">
      <c r="AA3272" s="237"/>
      <c r="AB3272" s="237"/>
      <c r="AC3272" s="237"/>
      <c r="AD3272" s="237"/>
      <c r="AE3272" s="237"/>
      <c r="AF3272" s="237"/>
      <c r="AG3272" s="237"/>
      <c r="AH3272" s="237"/>
      <c r="AJ3272" s="238"/>
    </row>
    <row r="3273" spans="1:39" ht="12.75" x14ac:dyDescent="0.2">
      <c r="AL3273" s="226"/>
      <c r="AM3273" s="226"/>
    </row>
    <row r="3274" spans="1:39" ht="12.75" x14ac:dyDescent="0.2">
      <c r="A3274" s="236"/>
      <c r="B3274" s="236"/>
      <c r="C3274" s="236"/>
      <c r="D3274" s="236"/>
      <c r="E3274" s="237"/>
      <c r="G3274" s="237"/>
      <c r="H3274" s="237"/>
      <c r="I3274" s="237"/>
      <c r="K3274" s="237"/>
      <c r="N3274" s="237"/>
      <c r="O3274" s="237"/>
      <c r="P3274" s="237"/>
      <c r="Q3274" s="237"/>
      <c r="AL3274" s="226"/>
      <c r="AM3274" s="226"/>
    </row>
    <row r="3275" spans="1:39" x14ac:dyDescent="0.25">
      <c r="AA3275" s="237"/>
      <c r="AB3275" s="237"/>
      <c r="AC3275" s="237"/>
      <c r="AD3275" s="237"/>
      <c r="AE3275" s="237"/>
      <c r="AF3275" s="237"/>
      <c r="AG3275" s="237"/>
      <c r="AH3275" s="237"/>
      <c r="AJ3275" s="238"/>
    </row>
    <row r="3276" spans="1:39" x14ac:dyDescent="0.25">
      <c r="AA3276" s="237"/>
      <c r="AB3276" s="237"/>
      <c r="AC3276" s="237"/>
      <c r="AD3276" s="237"/>
      <c r="AE3276" s="237"/>
      <c r="AF3276" s="237"/>
      <c r="AG3276" s="237"/>
      <c r="AH3276" s="237"/>
      <c r="AJ3276" s="238"/>
    </row>
    <row r="3277" spans="1:39" ht="12.75" x14ac:dyDescent="0.2">
      <c r="AL3277" s="226"/>
      <c r="AM3277" s="226"/>
    </row>
    <row r="3278" spans="1:39" ht="12.75" x14ac:dyDescent="0.2">
      <c r="A3278" s="236"/>
      <c r="B3278" s="236"/>
      <c r="C3278" s="236"/>
      <c r="D3278" s="236"/>
      <c r="E3278" s="237"/>
      <c r="G3278" s="237"/>
      <c r="H3278" s="237"/>
      <c r="I3278" s="237"/>
      <c r="K3278" s="237"/>
      <c r="N3278" s="237"/>
      <c r="O3278" s="237"/>
      <c r="P3278" s="237"/>
      <c r="Q3278" s="237"/>
      <c r="AL3278" s="226"/>
      <c r="AM3278" s="226"/>
    </row>
    <row r="3279" spans="1:39" x14ac:dyDescent="0.25">
      <c r="AA3279" s="237"/>
      <c r="AB3279" s="237"/>
      <c r="AC3279" s="237"/>
      <c r="AD3279" s="237"/>
      <c r="AE3279" s="237"/>
      <c r="AF3279" s="237"/>
      <c r="AG3279" s="237"/>
      <c r="AH3279" s="237"/>
      <c r="AJ3279" s="238"/>
    </row>
    <row r="3280" spans="1:39" x14ac:dyDescent="0.25">
      <c r="AA3280" s="237"/>
      <c r="AB3280" s="237"/>
      <c r="AC3280" s="237"/>
      <c r="AD3280" s="237"/>
      <c r="AE3280" s="237"/>
      <c r="AF3280" s="237"/>
      <c r="AG3280" s="237"/>
      <c r="AH3280" s="237"/>
      <c r="AJ3280" s="238"/>
    </row>
    <row r="3281" spans="1:39" x14ac:dyDescent="0.25">
      <c r="AA3281" s="237"/>
      <c r="AB3281" s="237"/>
      <c r="AC3281" s="237"/>
      <c r="AD3281" s="237"/>
      <c r="AE3281" s="237"/>
      <c r="AF3281" s="237"/>
      <c r="AG3281" s="237"/>
      <c r="AH3281" s="237"/>
      <c r="AJ3281" s="238"/>
    </row>
    <row r="3282" spans="1:39" x14ac:dyDescent="0.25">
      <c r="AA3282" s="237"/>
      <c r="AB3282" s="237"/>
      <c r="AC3282" s="237"/>
      <c r="AD3282" s="237"/>
      <c r="AE3282" s="237"/>
      <c r="AF3282" s="237"/>
      <c r="AG3282" s="237"/>
      <c r="AH3282" s="237"/>
      <c r="AJ3282" s="238"/>
    </row>
    <row r="3283" spans="1:39" ht="12.75" x14ac:dyDescent="0.2">
      <c r="AL3283" s="226"/>
      <c r="AM3283" s="226"/>
    </row>
    <row r="3284" spans="1:39" ht="12.75" x14ac:dyDescent="0.2">
      <c r="A3284" s="236"/>
      <c r="B3284" s="236"/>
      <c r="C3284" s="236"/>
      <c r="D3284" s="236"/>
      <c r="E3284" s="237"/>
      <c r="G3284" s="237"/>
      <c r="H3284" s="237"/>
      <c r="I3284" s="237"/>
      <c r="K3284" s="237"/>
      <c r="N3284" s="237"/>
      <c r="O3284" s="237"/>
      <c r="P3284" s="237"/>
      <c r="Q3284" s="237"/>
      <c r="AL3284" s="226"/>
      <c r="AM3284" s="226"/>
    </row>
    <row r="3285" spans="1:39" x14ac:dyDescent="0.25">
      <c r="AA3285" s="237"/>
      <c r="AB3285" s="237"/>
      <c r="AC3285" s="237"/>
      <c r="AD3285" s="237"/>
      <c r="AE3285" s="237"/>
      <c r="AF3285" s="237"/>
      <c r="AG3285" s="237"/>
      <c r="AH3285" s="237"/>
      <c r="AJ3285" s="238"/>
    </row>
    <row r="3286" spans="1:39" x14ac:dyDescent="0.25">
      <c r="AA3286" s="237"/>
      <c r="AB3286" s="237"/>
      <c r="AC3286" s="237"/>
      <c r="AD3286" s="237"/>
      <c r="AE3286" s="237"/>
      <c r="AF3286" s="237"/>
      <c r="AG3286" s="237"/>
      <c r="AH3286" s="237"/>
      <c r="AJ3286" s="238"/>
    </row>
    <row r="3287" spans="1:39" x14ac:dyDescent="0.25">
      <c r="AA3287" s="237"/>
      <c r="AB3287" s="237"/>
      <c r="AC3287" s="237"/>
      <c r="AD3287" s="237"/>
      <c r="AE3287" s="237"/>
      <c r="AF3287" s="237"/>
      <c r="AG3287" s="237"/>
      <c r="AH3287" s="237"/>
      <c r="AJ3287" s="238"/>
    </row>
    <row r="3288" spans="1:39" x14ac:dyDescent="0.25">
      <c r="AA3288" s="237"/>
      <c r="AB3288" s="237"/>
      <c r="AC3288" s="237"/>
      <c r="AD3288" s="237"/>
      <c r="AE3288" s="237"/>
      <c r="AF3288" s="237"/>
      <c r="AG3288" s="237"/>
      <c r="AH3288" s="237"/>
      <c r="AJ3288" s="238"/>
    </row>
    <row r="3289" spans="1:39" ht="12.75" x14ac:dyDescent="0.2">
      <c r="AL3289" s="226"/>
      <c r="AM3289" s="226"/>
    </row>
    <row r="3290" spans="1:39" ht="12.75" x14ac:dyDescent="0.2">
      <c r="A3290" s="236"/>
      <c r="B3290" s="236"/>
      <c r="C3290" s="236"/>
      <c r="D3290" s="236"/>
      <c r="E3290" s="237"/>
      <c r="G3290" s="237"/>
      <c r="H3290" s="237"/>
      <c r="I3290" s="237"/>
      <c r="K3290" s="237"/>
      <c r="N3290" s="237"/>
      <c r="O3290" s="237"/>
      <c r="P3290" s="237"/>
      <c r="Q3290" s="237"/>
      <c r="AL3290" s="226"/>
      <c r="AM3290" s="226"/>
    </row>
    <row r="3291" spans="1:39" x14ac:dyDescent="0.25">
      <c r="AA3291" s="237"/>
      <c r="AB3291" s="237"/>
      <c r="AC3291" s="237"/>
      <c r="AD3291" s="237"/>
      <c r="AE3291" s="237"/>
      <c r="AF3291" s="237"/>
      <c r="AG3291" s="237"/>
      <c r="AH3291" s="237"/>
      <c r="AJ3291" s="238"/>
    </row>
    <row r="3292" spans="1:39" ht="12.75" x14ac:dyDescent="0.2">
      <c r="AL3292" s="226"/>
      <c r="AM3292" s="226"/>
    </row>
    <row r="3293" spans="1:39" ht="12.75" x14ac:dyDescent="0.2">
      <c r="A3293" s="236"/>
      <c r="B3293" s="236"/>
      <c r="C3293" s="236"/>
      <c r="D3293" s="236"/>
      <c r="E3293" s="237"/>
      <c r="G3293" s="237"/>
      <c r="H3293" s="237"/>
      <c r="I3293" s="237"/>
      <c r="K3293" s="237"/>
      <c r="N3293" s="237"/>
      <c r="O3293" s="237"/>
      <c r="P3293" s="237"/>
      <c r="Q3293" s="237"/>
      <c r="AL3293" s="226"/>
      <c r="AM3293" s="226"/>
    </row>
    <row r="3294" spans="1:39" x14ac:dyDescent="0.25">
      <c r="AA3294" s="237"/>
      <c r="AB3294" s="237"/>
      <c r="AC3294" s="237"/>
      <c r="AD3294" s="237"/>
      <c r="AE3294" s="237"/>
      <c r="AF3294" s="237"/>
      <c r="AG3294" s="237"/>
      <c r="AH3294" s="237"/>
      <c r="AJ3294" s="238"/>
    </row>
    <row r="3295" spans="1:39" ht="12.75" x14ac:dyDescent="0.2">
      <c r="AL3295" s="226"/>
      <c r="AM3295" s="226"/>
    </row>
    <row r="3296" spans="1:39" ht="12.75" x14ac:dyDescent="0.2">
      <c r="A3296" s="236"/>
      <c r="B3296" s="236"/>
      <c r="C3296" s="236"/>
      <c r="D3296" s="236"/>
      <c r="E3296" s="237"/>
      <c r="G3296" s="237"/>
      <c r="H3296" s="237"/>
      <c r="I3296" s="237"/>
      <c r="K3296" s="237"/>
      <c r="N3296" s="237"/>
      <c r="O3296" s="237"/>
      <c r="P3296" s="237"/>
      <c r="Q3296" s="237"/>
      <c r="AL3296" s="226"/>
      <c r="AM3296" s="226"/>
    </row>
    <row r="3297" spans="1:39" x14ac:dyDescent="0.25">
      <c r="AA3297" s="237"/>
      <c r="AB3297" s="237"/>
      <c r="AC3297" s="237"/>
      <c r="AD3297" s="237"/>
      <c r="AE3297" s="237"/>
      <c r="AF3297" s="237"/>
      <c r="AG3297" s="237"/>
      <c r="AH3297" s="237"/>
      <c r="AJ3297" s="238"/>
    </row>
    <row r="3298" spans="1:39" x14ac:dyDescent="0.25">
      <c r="AA3298" s="237"/>
      <c r="AB3298" s="237"/>
      <c r="AC3298" s="237"/>
      <c r="AD3298" s="237"/>
      <c r="AE3298" s="237"/>
      <c r="AF3298" s="237"/>
      <c r="AG3298" s="237"/>
      <c r="AH3298" s="237"/>
      <c r="AJ3298" s="238"/>
    </row>
    <row r="3299" spans="1:39" x14ac:dyDescent="0.25">
      <c r="AA3299" s="237"/>
      <c r="AB3299" s="237"/>
      <c r="AC3299" s="237"/>
      <c r="AD3299" s="237"/>
      <c r="AE3299" s="237"/>
      <c r="AF3299" s="237"/>
      <c r="AG3299" s="237"/>
      <c r="AH3299" s="237"/>
      <c r="AJ3299" s="238"/>
    </row>
    <row r="3300" spans="1:39" ht="12.75" x14ac:dyDescent="0.2">
      <c r="AL3300" s="226"/>
      <c r="AM3300" s="226"/>
    </row>
    <row r="3301" spans="1:39" ht="12.75" x14ac:dyDescent="0.2">
      <c r="A3301" s="236"/>
      <c r="B3301" s="236"/>
      <c r="C3301" s="236"/>
      <c r="D3301" s="236"/>
      <c r="E3301" s="237"/>
      <c r="G3301" s="237"/>
      <c r="H3301" s="237"/>
      <c r="I3301" s="237"/>
      <c r="K3301" s="237"/>
      <c r="N3301" s="237"/>
      <c r="O3301" s="237"/>
      <c r="P3301" s="237"/>
      <c r="Q3301" s="237"/>
      <c r="AL3301" s="226"/>
      <c r="AM3301" s="226"/>
    </row>
    <row r="3302" spans="1:39" x14ac:dyDescent="0.25">
      <c r="AA3302" s="237"/>
      <c r="AB3302" s="237"/>
      <c r="AC3302" s="237"/>
      <c r="AD3302" s="237"/>
      <c r="AE3302" s="237"/>
      <c r="AF3302" s="237"/>
      <c r="AG3302" s="237"/>
      <c r="AH3302" s="237"/>
      <c r="AJ3302" s="238"/>
    </row>
    <row r="3303" spans="1:39" x14ac:dyDescent="0.25">
      <c r="AA3303" s="237"/>
      <c r="AB3303" s="237"/>
      <c r="AC3303" s="237"/>
      <c r="AD3303" s="237"/>
      <c r="AE3303" s="237"/>
      <c r="AF3303" s="237"/>
      <c r="AG3303" s="237"/>
      <c r="AH3303" s="237"/>
      <c r="AJ3303" s="238"/>
    </row>
    <row r="3304" spans="1:39" x14ac:dyDescent="0.25">
      <c r="AA3304" s="237"/>
      <c r="AB3304" s="237"/>
      <c r="AC3304" s="237"/>
      <c r="AD3304" s="237"/>
      <c r="AE3304" s="237"/>
      <c r="AF3304" s="237"/>
      <c r="AG3304" s="237"/>
      <c r="AH3304" s="237"/>
      <c r="AJ3304" s="238"/>
    </row>
    <row r="3305" spans="1:39" x14ac:dyDescent="0.25">
      <c r="AA3305" s="237"/>
      <c r="AB3305" s="237"/>
      <c r="AC3305" s="237"/>
      <c r="AD3305" s="237"/>
      <c r="AE3305" s="237"/>
      <c r="AF3305" s="237"/>
      <c r="AG3305" s="237"/>
      <c r="AH3305" s="237"/>
      <c r="AJ3305" s="238"/>
    </row>
    <row r="3306" spans="1:39" ht="12.75" x14ac:dyDescent="0.2">
      <c r="AL3306" s="226"/>
      <c r="AM3306" s="226"/>
    </row>
    <row r="3307" spans="1:39" ht="12.75" x14ac:dyDescent="0.2">
      <c r="A3307" s="236"/>
      <c r="B3307" s="236"/>
      <c r="C3307" s="236"/>
      <c r="D3307" s="236"/>
      <c r="E3307" s="237"/>
      <c r="G3307" s="237"/>
      <c r="H3307" s="237"/>
      <c r="I3307" s="237"/>
      <c r="K3307" s="237"/>
      <c r="N3307" s="237"/>
      <c r="O3307" s="237"/>
      <c r="P3307" s="237"/>
      <c r="Q3307" s="237"/>
      <c r="AL3307" s="226"/>
      <c r="AM3307" s="226"/>
    </row>
    <row r="3308" spans="1:39" x14ac:dyDescent="0.25">
      <c r="AA3308" s="237"/>
      <c r="AB3308" s="237"/>
      <c r="AC3308" s="237"/>
      <c r="AD3308" s="237"/>
      <c r="AE3308" s="237"/>
      <c r="AF3308" s="237"/>
      <c r="AG3308" s="237"/>
      <c r="AH3308" s="237"/>
      <c r="AJ3308" s="238"/>
    </row>
    <row r="3309" spans="1:39" x14ac:dyDescent="0.25">
      <c r="AA3309" s="237"/>
      <c r="AB3309" s="237"/>
      <c r="AC3309" s="237"/>
      <c r="AD3309" s="237"/>
      <c r="AE3309" s="237"/>
      <c r="AF3309" s="237"/>
      <c r="AG3309" s="237"/>
      <c r="AH3309" s="237"/>
      <c r="AJ3309" s="238"/>
    </row>
    <row r="3310" spans="1:39" x14ac:dyDescent="0.25">
      <c r="AA3310" s="237"/>
      <c r="AB3310" s="237"/>
      <c r="AC3310" s="237"/>
      <c r="AD3310" s="237"/>
      <c r="AE3310" s="237"/>
      <c r="AF3310" s="237"/>
      <c r="AG3310" s="237"/>
      <c r="AH3310" s="237"/>
      <c r="AJ3310" s="238"/>
    </row>
    <row r="3311" spans="1:39" x14ac:dyDescent="0.25">
      <c r="AA3311" s="237"/>
      <c r="AB3311" s="237"/>
      <c r="AC3311" s="237"/>
      <c r="AD3311" s="237"/>
      <c r="AE3311" s="237"/>
      <c r="AF3311" s="237"/>
      <c r="AG3311" s="237"/>
      <c r="AH3311" s="237"/>
      <c r="AJ3311" s="238"/>
    </row>
    <row r="3312" spans="1:39" ht="12.75" x14ac:dyDescent="0.2">
      <c r="AL3312" s="226"/>
      <c r="AM3312" s="226"/>
    </row>
    <row r="3313" spans="1:39" ht="12.75" x14ac:dyDescent="0.2">
      <c r="A3313" s="236"/>
      <c r="B3313" s="236"/>
      <c r="C3313" s="236"/>
      <c r="D3313" s="236"/>
      <c r="E3313" s="237"/>
      <c r="G3313" s="237"/>
      <c r="H3313" s="237"/>
      <c r="I3313" s="237"/>
      <c r="K3313" s="237"/>
      <c r="N3313" s="237"/>
      <c r="O3313" s="237"/>
      <c r="P3313" s="237"/>
      <c r="Q3313" s="237"/>
      <c r="AL3313" s="226"/>
      <c r="AM3313" s="226"/>
    </row>
    <row r="3314" spans="1:39" x14ac:dyDescent="0.25">
      <c r="AA3314" s="237"/>
      <c r="AB3314" s="237"/>
      <c r="AC3314" s="237"/>
      <c r="AD3314" s="237"/>
      <c r="AE3314" s="237"/>
      <c r="AF3314" s="237"/>
      <c r="AG3314" s="237"/>
      <c r="AH3314" s="237"/>
      <c r="AJ3314" s="238"/>
    </row>
    <row r="3315" spans="1:39" ht="12.75" x14ac:dyDescent="0.2">
      <c r="AL3315" s="226"/>
      <c r="AM3315" s="226"/>
    </row>
    <row r="3316" spans="1:39" ht="12.75" x14ac:dyDescent="0.2">
      <c r="A3316" s="236"/>
      <c r="B3316" s="236"/>
      <c r="C3316" s="236"/>
      <c r="D3316" s="236"/>
      <c r="E3316" s="237"/>
      <c r="G3316" s="237"/>
      <c r="H3316" s="237"/>
      <c r="I3316" s="237"/>
      <c r="K3316" s="237"/>
      <c r="N3316" s="237"/>
      <c r="O3316" s="237"/>
      <c r="P3316" s="237"/>
      <c r="Q3316" s="237"/>
      <c r="AL3316" s="226"/>
      <c r="AM3316" s="226"/>
    </row>
    <row r="3317" spans="1:39" x14ac:dyDescent="0.25">
      <c r="AA3317" s="237"/>
      <c r="AB3317" s="237"/>
      <c r="AC3317" s="237"/>
      <c r="AD3317" s="237"/>
      <c r="AE3317" s="237"/>
      <c r="AF3317" s="237"/>
      <c r="AG3317" s="237"/>
      <c r="AH3317" s="237"/>
      <c r="AJ3317" s="238"/>
    </row>
    <row r="3318" spans="1:39" x14ac:dyDescent="0.25">
      <c r="AA3318" s="237"/>
      <c r="AB3318" s="237"/>
      <c r="AC3318" s="237"/>
      <c r="AD3318" s="237"/>
      <c r="AE3318" s="237"/>
      <c r="AF3318" s="237"/>
      <c r="AG3318" s="237"/>
      <c r="AH3318" s="237"/>
      <c r="AJ3318" s="238"/>
    </row>
    <row r="3319" spans="1:39" x14ac:dyDescent="0.25">
      <c r="AA3319" s="237"/>
      <c r="AB3319" s="237"/>
      <c r="AC3319" s="237"/>
      <c r="AD3319" s="237"/>
      <c r="AE3319" s="237"/>
      <c r="AF3319" s="237"/>
      <c r="AG3319" s="237"/>
      <c r="AH3319" s="237"/>
      <c r="AJ3319" s="238"/>
    </row>
    <row r="3320" spans="1:39" x14ac:dyDescent="0.25">
      <c r="AA3320" s="237"/>
      <c r="AB3320" s="237"/>
      <c r="AC3320" s="237"/>
      <c r="AD3320" s="237"/>
      <c r="AE3320" s="237"/>
      <c r="AF3320" s="237"/>
      <c r="AG3320" s="237"/>
      <c r="AH3320" s="237"/>
      <c r="AJ3320" s="238"/>
    </row>
    <row r="3321" spans="1:39" ht="12.75" x14ac:dyDescent="0.2">
      <c r="AL3321" s="226"/>
      <c r="AM3321" s="226"/>
    </row>
    <row r="3322" spans="1:39" ht="12.75" x14ac:dyDescent="0.2">
      <c r="A3322" s="236"/>
      <c r="B3322" s="236"/>
      <c r="C3322" s="236"/>
      <c r="D3322" s="236"/>
      <c r="E3322" s="237"/>
      <c r="G3322" s="237"/>
      <c r="H3322" s="237"/>
      <c r="I3322" s="237"/>
      <c r="K3322" s="237"/>
      <c r="N3322" s="237"/>
      <c r="O3322" s="237"/>
      <c r="P3322" s="237"/>
      <c r="Q3322" s="237"/>
      <c r="AL3322" s="226"/>
      <c r="AM3322" s="226"/>
    </row>
    <row r="3323" spans="1:39" x14ac:dyDescent="0.25">
      <c r="AA3323" s="237"/>
      <c r="AB3323" s="237"/>
      <c r="AC3323" s="237"/>
      <c r="AD3323" s="237"/>
      <c r="AE3323" s="237"/>
      <c r="AF3323" s="237"/>
      <c r="AG3323" s="237"/>
      <c r="AH3323" s="237"/>
      <c r="AJ3323" s="238"/>
    </row>
    <row r="3324" spans="1:39" x14ac:dyDescent="0.25">
      <c r="AA3324" s="237"/>
      <c r="AB3324" s="237"/>
      <c r="AC3324" s="237"/>
      <c r="AD3324" s="237"/>
      <c r="AE3324" s="237"/>
      <c r="AF3324" s="237"/>
      <c r="AG3324" s="237"/>
      <c r="AH3324" s="237"/>
      <c r="AJ3324" s="238"/>
    </row>
    <row r="3325" spans="1:39" x14ac:dyDescent="0.25">
      <c r="AA3325" s="237"/>
      <c r="AB3325" s="237"/>
      <c r="AC3325" s="237"/>
      <c r="AD3325" s="237"/>
      <c r="AE3325" s="237"/>
      <c r="AF3325" s="237"/>
      <c r="AG3325" s="237"/>
      <c r="AH3325" s="237"/>
      <c r="AJ3325" s="238"/>
    </row>
    <row r="3326" spans="1:39" x14ac:dyDescent="0.25">
      <c r="AA3326" s="237"/>
      <c r="AB3326" s="237"/>
      <c r="AC3326" s="237"/>
      <c r="AD3326" s="237"/>
      <c r="AE3326" s="237"/>
      <c r="AF3326" s="237"/>
      <c r="AG3326" s="237"/>
      <c r="AH3326" s="237"/>
      <c r="AJ3326" s="238"/>
    </row>
    <row r="3327" spans="1:39" ht="12.75" x14ac:dyDescent="0.2">
      <c r="AL3327" s="226"/>
      <c r="AM3327" s="226"/>
    </row>
    <row r="3328" spans="1:39" ht="12.75" x14ac:dyDescent="0.2">
      <c r="A3328" s="236"/>
      <c r="B3328" s="236"/>
      <c r="C3328" s="236"/>
      <c r="D3328" s="236"/>
      <c r="E3328" s="237"/>
      <c r="G3328" s="237"/>
      <c r="H3328" s="237"/>
      <c r="I3328" s="237"/>
      <c r="K3328" s="237"/>
      <c r="N3328" s="237"/>
      <c r="O3328" s="237"/>
      <c r="P3328" s="237"/>
      <c r="Q3328" s="237"/>
      <c r="AL3328" s="226"/>
      <c r="AM3328" s="226"/>
    </row>
    <row r="3329" spans="1:39" x14ac:dyDescent="0.25">
      <c r="AA3329" s="237"/>
      <c r="AB3329" s="237"/>
      <c r="AC3329" s="237"/>
      <c r="AD3329" s="237"/>
      <c r="AE3329" s="237"/>
      <c r="AF3329" s="237"/>
      <c r="AG3329" s="237"/>
      <c r="AH3329" s="237"/>
      <c r="AJ3329" s="238"/>
    </row>
    <row r="3330" spans="1:39" x14ac:dyDescent="0.25">
      <c r="AA3330" s="237"/>
      <c r="AB3330" s="237"/>
      <c r="AC3330" s="237"/>
      <c r="AD3330" s="237"/>
      <c r="AE3330" s="237"/>
      <c r="AF3330" s="237"/>
      <c r="AG3330" s="237"/>
      <c r="AH3330" s="237"/>
      <c r="AJ3330" s="238"/>
    </row>
    <row r="3331" spans="1:39" x14ac:dyDescent="0.25">
      <c r="AA3331" s="237"/>
      <c r="AB3331" s="237"/>
      <c r="AC3331" s="237"/>
      <c r="AD3331" s="237"/>
      <c r="AE3331" s="237"/>
      <c r="AF3331" s="237"/>
      <c r="AG3331" s="237"/>
      <c r="AH3331" s="237"/>
      <c r="AJ3331" s="238"/>
    </row>
    <row r="3332" spans="1:39" x14ac:dyDescent="0.25">
      <c r="AA3332" s="237"/>
      <c r="AB3332" s="237"/>
      <c r="AC3332" s="237"/>
      <c r="AD3332" s="237"/>
      <c r="AE3332" s="237"/>
      <c r="AF3332" s="237"/>
      <c r="AG3332" s="237"/>
      <c r="AH3332" s="237"/>
      <c r="AJ3332" s="238"/>
    </row>
    <row r="3333" spans="1:39" x14ac:dyDescent="0.25">
      <c r="AA3333" s="237"/>
      <c r="AB3333" s="237"/>
      <c r="AC3333" s="237"/>
      <c r="AD3333" s="237"/>
      <c r="AE3333" s="237"/>
      <c r="AF3333" s="237"/>
      <c r="AG3333" s="237"/>
      <c r="AH3333" s="237"/>
      <c r="AJ3333" s="238"/>
    </row>
    <row r="3334" spans="1:39" ht="12.75" x14ac:dyDescent="0.2">
      <c r="AL3334" s="226"/>
      <c r="AM3334" s="226"/>
    </row>
    <row r="3335" spans="1:39" ht="12.75" x14ac:dyDescent="0.2">
      <c r="A3335" s="236"/>
      <c r="B3335" s="236"/>
      <c r="C3335" s="236"/>
      <c r="D3335" s="236"/>
      <c r="E3335" s="237"/>
      <c r="G3335" s="237"/>
      <c r="H3335" s="237"/>
      <c r="I3335" s="237"/>
      <c r="K3335" s="237"/>
      <c r="N3335" s="237"/>
      <c r="O3335" s="237"/>
      <c r="P3335" s="237"/>
      <c r="Q3335" s="237"/>
      <c r="AL3335" s="226"/>
      <c r="AM3335" s="226"/>
    </row>
    <row r="3336" spans="1:39" x14ac:dyDescent="0.25">
      <c r="AA3336" s="237"/>
      <c r="AB3336" s="237"/>
      <c r="AC3336" s="237"/>
      <c r="AD3336" s="237"/>
      <c r="AE3336" s="237"/>
      <c r="AF3336" s="237"/>
      <c r="AG3336" s="237"/>
      <c r="AH3336" s="237"/>
      <c r="AJ3336" s="238"/>
    </row>
    <row r="3337" spans="1:39" ht="12.75" x14ac:dyDescent="0.2">
      <c r="AL3337" s="226"/>
      <c r="AM3337" s="226"/>
    </row>
    <row r="3338" spans="1:39" ht="12.75" x14ac:dyDescent="0.2">
      <c r="A3338" s="236"/>
      <c r="B3338" s="236"/>
      <c r="C3338" s="236"/>
      <c r="D3338" s="236"/>
      <c r="E3338" s="237"/>
      <c r="G3338" s="237"/>
      <c r="H3338" s="237"/>
      <c r="I3338" s="237"/>
      <c r="K3338" s="237"/>
      <c r="N3338" s="237"/>
      <c r="O3338" s="237"/>
      <c r="P3338" s="237"/>
      <c r="Q3338" s="237"/>
      <c r="AL3338" s="226"/>
      <c r="AM3338" s="226"/>
    </row>
    <row r="3339" spans="1:39" x14ac:dyDescent="0.25">
      <c r="AA3339" s="237"/>
      <c r="AB3339" s="237"/>
      <c r="AC3339" s="237"/>
      <c r="AD3339" s="237"/>
      <c r="AE3339" s="237"/>
      <c r="AF3339" s="237"/>
      <c r="AG3339" s="237"/>
      <c r="AH3339" s="237"/>
      <c r="AJ3339" s="238"/>
    </row>
    <row r="3340" spans="1:39" ht="12.75" x14ac:dyDescent="0.2">
      <c r="AL3340" s="226"/>
      <c r="AM3340" s="226"/>
    </row>
    <row r="3341" spans="1:39" ht="12.75" x14ac:dyDescent="0.2">
      <c r="A3341" s="236"/>
      <c r="B3341" s="236"/>
      <c r="C3341" s="236"/>
      <c r="D3341" s="236"/>
      <c r="E3341" s="237"/>
      <c r="G3341" s="237"/>
      <c r="H3341" s="237"/>
      <c r="I3341" s="237"/>
      <c r="K3341" s="237"/>
      <c r="N3341" s="237"/>
      <c r="O3341" s="237"/>
      <c r="P3341" s="237"/>
      <c r="Q3341" s="237"/>
      <c r="AL3341" s="226"/>
      <c r="AM3341" s="226"/>
    </row>
    <row r="3342" spans="1:39" x14ac:dyDescent="0.25">
      <c r="AA3342" s="237"/>
      <c r="AB3342" s="237"/>
      <c r="AC3342" s="237"/>
      <c r="AD3342" s="237"/>
      <c r="AE3342" s="237"/>
      <c r="AF3342" s="237"/>
      <c r="AG3342" s="237"/>
      <c r="AH3342" s="237"/>
      <c r="AJ3342" s="238"/>
    </row>
    <row r="3343" spans="1:39" x14ac:dyDescent="0.25">
      <c r="AA3343" s="237"/>
      <c r="AB3343" s="237"/>
      <c r="AC3343" s="237"/>
      <c r="AD3343" s="237"/>
      <c r="AE3343" s="237"/>
      <c r="AF3343" s="237"/>
      <c r="AG3343" s="237"/>
      <c r="AH3343" s="237"/>
      <c r="AJ3343" s="238"/>
    </row>
    <row r="3344" spans="1:39" ht="12.75" x14ac:dyDescent="0.2">
      <c r="AL3344" s="226"/>
      <c r="AM3344" s="226"/>
    </row>
    <row r="3345" spans="1:39" ht="12.75" x14ac:dyDescent="0.2">
      <c r="A3345" s="236"/>
      <c r="B3345" s="236"/>
      <c r="C3345" s="236"/>
      <c r="D3345" s="236"/>
      <c r="E3345" s="237"/>
      <c r="G3345" s="237"/>
      <c r="H3345" s="237"/>
      <c r="I3345" s="237"/>
      <c r="K3345" s="237"/>
      <c r="N3345" s="237"/>
      <c r="O3345" s="237"/>
      <c r="P3345" s="237"/>
      <c r="Q3345" s="237"/>
      <c r="AL3345" s="226"/>
      <c r="AM3345" s="226"/>
    </row>
    <row r="3346" spans="1:39" x14ac:dyDescent="0.25">
      <c r="AA3346" s="237"/>
      <c r="AB3346" s="237"/>
      <c r="AC3346" s="237"/>
      <c r="AD3346" s="237"/>
      <c r="AE3346" s="237"/>
      <c r="AF3346" s="237"/>
      <c r="AG3346" s="237"/>
      <c r="AH3346" s="237"/>
      <c r="AJ3346" s="238"/>
    </row>
    <row r="3347" spans="1:39" x14ac:dyDescent="0.25">
      <c r="AA3347" s="237"/>
      <c r="AB3347" s="237"/>
      <c r="AC3347" s="237"/>
      <c r="AD3347" s="237"/>
      <c r="AE3347" s="237"/>
      <c r="AF3347" s="237"/>
      <c r="AG3347" s="237"/>
      <c r="AH3347" s="237"/>
      <c r="AJ3347" s="238"/>
    </row>
    <row r="3348" spans="1:39" x14ac:dyDescent="0.25">
      <c r="AA3348" s="237"/>
      <c r="AB3348" s="237"/>
      <c r="AC3348" s="237"/>
      <c r="AD3348" s="237"/>
      <c r="AE3348" s="237"/>
      <c r="AF3348" s="237"/>
      <c r="AG3348" s="237"/>
      <c r="AH3348" s="237"/>
      <c r="AJ3348" s="238"/>
    </row>
    <row r="3349" spans="1:39" x14ac:dyDescent="0.25">
      <c r="AA3349" s="237"/>
      <c r="AB3349" s="237"/>
      <c r="AC3349" s="237"/>
      <c r="AD3349" s="237"/>
      <c r="AE3349" s="237"/>
      <c r="AF3349" s="237"/>
      <c r="AG3349" s="237"/>
      <c r="AH3349" s="237"/>
      <c r="AJ3349" s="238"/>
    </row>
    <row r="3350" spans="1:39" ht="12.75" x14ac:dyDescent="0.2">
      <c r="AL3350" s="226"/>
      <c r="AM3350" s="226"/>
    </row>
    <row r="3351" spans="1:39" ht="12.75" x14ac:dyDescent="0.2">
      <c r="A3351" s="236"/>
      <c r="B3351" s="236"/>
      <c r="C3351" s="236"/>
      <c r="D3351" s="236"/>
      <c r="E3351" s="237"/>
      <c r="G3351" s="237"/>
      <c r="H3351" s="237"/>
      <c r="I3351" s="237"/>
      <c r="K3351" s="237"/>
      <c r="N3351" s="237"/>
      <c r="O3351" s="237"/>
      <c r="P3351" s="237"/>
      <c r="Q3351" s="237"/>
      <c r="AL3351" s="226"/>
      <c r="AM3351" s="226"/>
    </row>
    <row r="3352" spans="1:39" x14ac:dyDescent="0.25">
      <c r="AA3352" s="237"/>
      <c r="AB3352" s="237"/>
      <c r="AC3352" s="237"/>
      <c r="AD3352" s="237"/>
      <c r="AE3352" s="237"/>
      <c r="AF3352" s="237"/>
      <c r="AG3352" s="237"/>
      <c r="AH3352" s="237"/>
      <c r="AJ3352" s="238"/>
    </row>
    <row r="3353" spans="1:39" x14ac:dyDescent="0.25">
      <c r="AA3353" s="237"/>
      <c r="AB3353" s="237"/>
      <c r="AC3353" s="237"/>
      <c r="AD3353" s="237"/>
      <c r="AE3353" s="237"/>
      <c r="AF3353" s="237"/>
      <c r="AG3353" s="237"/>
      <c r="AH3353" s="237"/>
      <c r="AJ3353" s="238"/>
    </row>
    <row r="3354" spans="1:39" x14ac:dyDescent="0.25">
      <c r="AA3354" s="237"/>
      <c r="AB3354" s="237"/>
      <c r="AC3354" s="237"/>
      <c r="AD3354" s="237"/>
      <c r="AE3354" s="237"/>
      <c r="AF3354" s="237"/>
      <c r="AG3354" s="237"/>
      <c r="AH3354" s="237"/>
      <c r="AJ3354" s="238"/>
    </row>
    <row r="3355" spans="1:39" x14ac:dyDescent="0.25">
      <c r="AA3355" s="237"/>
      <c r="AB3355" s="237"/>
      <c r="AC3355" s="237"/>
      <c r="AD3355" s="237"/>
      <c r="AE3355" s="237"/>
      <c r="AF3355" s="237"/>
      <c r="AG3355" s="237"/>
      <c r="AH3355" s="237"/>
      <c r="AJ3355" s="238"/>
    </row>
    <row r="3356" spans="1:39" x14ac:dyDescent="0.25">
      <c r="AA3356" s="237"/>
      <c r="AB3356" s="237"/>
      <c r="AC3356" s="237"/>
      <c r="AD3356" s="237"/>
      <c r="AE3356" s="237"/>
      <c r="AF3356" s="237"/>
      <c r="AG3356" s="237"/>
      <c r="AH3356" s="237"/>
      <c r="AJ3356" s="238"/>
    </row>
    <row r="3357" spans="1:39" x14ac:dyDescent="0.25">
      <c r="AA3357" s="237"/>
      <c r="AB3357" s="237"/>
      <c r="AC3357" s="237"/>
      <c r="AD3357" s="237"/>
      <c r="AE3357" s="237"/>
      <c r="AF3357" s="237"/>
      <c r="AG3357" s="237"/>
      <c r="AH3357" s="237"/>
      <c r="AJ3357" s="238"/>
    </row>
    <row r="3358" spans="1:39" x14ac:dyDescent="0.25">
      <c r="AA3358" s="237"/>
      <c r="AB3358" s="237"/>
      <c r="AC3358" s="237"/>
      <c r="AD3358" s="237"/>
      <c r="AE3358" s="237"/>
      <c r="AF3358" s="237"/>
      <c r="AG3358" s="237"/>
      <c r="AH3358" s="237"/>
      <c r="AJ3358" s="238"/>
    </row>
    <row r="3359" spans="1:39" x14ac:dyDescent="0.25">
      <c r="AA3359" s="237"/>
      <c r="AB3359" s="237"/>
      <c r="AC3359" s="237"/>
      <c r="AD3359" s="237"/>
      <c r="AE3359" s="237"/>
      <c r="AF3359" s="237"/>
      <c r="AG3359" s="237"/>
      <c r="AH3359" s="237"/>
      <c r="AJ3359" s="238"/>
    </row>
    <row r="3360" spans="1:39" ht="12.75" x14ac:dyDescent="0.2">
      <c r="AL3360" s="226"/>
      <c r="AM3360" s="226"/>
    </row>
    <row r="3361" spans="1:39" ht="12.75" x14ac:dyDescent="0.2">
      <c r="A3361" s="236"/>
      <c r="B3361" s="236"/>
      <c r="C3361" s="236"/>
      <c r="D3361" s="236"/>
      <c r="E3361" s="237"/>
      <c r="G3361" s="237"/>
      <c r="H3361" s="237"/>
      <c r="I3361" s="237"/>
      <c r="K3361" s="237"/>
      <c r="N3361" s="237"/>
      <c r="O3361" s="237"/>
      <c r="P3361" s="237"/>
      <c r="Q3361" s="237"/>
      <c r="AL3361" s="226"/>
      <c r="AM3361" s="226"/>
    </row>
    <row r="3362" spans="1:39" x14ac:dyDescent="0.25">
      <c r="AA3362" s="237"/>
      <c r="AB3362" s="237"/>
      <c r="AC3362" s="237"/>
      <c r="AD3362" s="237"/>
      <c r="AE3362" s="237"/>
      <c r="AF3362" s="237"/>
      <c r="AG3362" s="237"/>
      <c r="AH3362" s="237"/>
      <c r="AJ3362" s="238"/>
    </row>
    <row r="3363" spans="1:39" x14ac:dyDescent="0.25">
      <c r="AA3363" s="237"/>
      <c r="AB3363" s="237"/>
      <c r="AC3363" s="237"/>
      <c r="AD3363" s="237"/>
      <c r="AE3363" s="237"/>
      <c r="AF3363" s="237"/>
      <c r="AG3363" s="237"/>
      <c r="AH3363" s="237"/>
      <c r="AJ3363" s="238"/>
    </row>
    <row r="3364" spans="1:39" x14ac:dyDescent="0.25">
      <c r="AA3364" s="237"/>
      <c r="AB3364" s="237"/>
      <c r="AC3364" s="237"/>
      <c r="AD3364" s="237"/>
      <c r="AE3364" s="237"/>
      <c r="AF3364" s="237"/>
      <c r="AG3364" s="237"/>
      <c r="AH3364" s="237"/>
      <c r="AJ3364" s="238"/>
    </row>
    <row r="3365" spans="1:39" ht="12.75" x14ac:dyDescent="0.2">
      <c r="AL3365" s="226"/>
      <c r="AM3365" s="226"/>
    </row>
    <row r="3366" spans="1:39" ht="12.75" x14ac:dyDescent="0.2">
      <c r="A3366" s="236"/>
      <c r="B3366" s="236"/>
      <c r="C3366" s="236"/>
      <c r="D3366" s="236"/>
      <c r="E3366" s="237"/>
      <c r="G3366" s="237"/>
      <c r="H3366" s="237"/>
      <c r="I3366" s="237"/>
      <c r="K3366" s="237"/>
      <c r="N3366" s="237"/>
      <c r="O3366" s="237"/>
      <c r="P3366" s="237"/>
      <c r="Q3366" s="237"/>
      <c r="AL3366" s="226"/>
      <c r="AM3366" s="226"/>
    </row>
    <row r="3367" spans="1:39" x14ac:dyDescent="0.25">
      <c r="AA3367" s="237"/>
      <c r="AB3367" s="237"/>
      <c r="AC3367" s="237"/>
      <c r="AD3367" s="237"/>
      <c r="AE3367" s="237"/>
      <c r="AF3367" s="237"/>
      <c r="AG3367" s="237"/>
      <c r="AH3367" s="237"/>
      <c r="AJ3367" s="238"/>
    </row>
    <row r="3368" spans="1:39" x14ac:dyDescent="0.25">
      <c r="AA3368" s="237"/>
      <c r="AB3368" s="237"/>
      <c r="AC3368" s="237"/>
      <c r="AD3368" s="237"/>
      <c r="AE3368" s="237"/>
      <c r="AF3368" s="237"/>
      <c r="AG3368" s="237"/>
      <c r="AH3368" s="237"/>
      <c r="AJ3368" s="238"/>
    </row>
    <row r="3369" spans="1:39" x14ac:dyDescent="0.25">
      <c r="AA3369" s="237"/>
      <c r="AB3369" s="237"/>
      <c r="AC3369" s="237"/>
      <c r="AD3369" s="237"/>
      <c r="AE3369" s="237"/>
      <c r="AF3369" s="237"/>
      <c r="AG3369" s="237"/>
      <c r="AH3369" s="237"/>
      <c r="AJ3369" s="238"/>
    </row>
    <row r="3370" spans="1:39" x14ac:dyDescent="0.25">
      <c r="AA3370" s="237"/>
      <c r="AB3370" s="237"/>
      <c r="AC3370" s="237"/>
      <c r="AD3370" s="237"/>
      <c r="AE3370" s="237"/>
      <c r="AF3370" s="237"/>
      <c r="AG3370" s="237"/>
      <c r="AH3370" s="237"/>
      <c r="AJ3370" s="238"/>
    </row>
    <row r="3371" spans="1:39" x14ac:dyDescent="0.25">
      <c r="AA3371" s="237"/>
      <c r="AB3371" s="237"/>
      <c r="AC3371" s="237"/>
      <c r="AD3371" s="237"/>
      <c r="AE3371" s="237"/>
      <c r="AF3371" s="237"/>
      <c r="AG3371" s="237"/>
      <c r="AH3371" s="237"/>
      <c r="AJ3371" s="238"/>
    </row>
    <row r="3372" spans="1:39" x14ac:dyDescent="0.25">
      <c r="AA3372" s="237"/>
      <c r="AB3372" s="237"/>
      <c r="AC3372" s="237"/>
      <c r="AD3372" s="237"/>
      <c r="AE3372" s="237"/>
      <c r="AF3372" s="237"/>
      <c r="AG3372" s="237"/>
      <c r="AH3372" s="237"/>
      <c r="AJ3372" s="238"/>
    </row>
    <row r="3373" spans="1:39" ht="12.75" x14ac:dyDescent="0.2">
      <c r="AL3373" s="226"/>
      <c r="AM3373" s="226"/>
    </row>
    <row r="3374" spans="1:39" ht="12.75" x14ac:dyDescent="0.2">
      <c r="A3374" s="236"/>
      <c r="B3374" s="236"/>
      <c r="C3374" s="236"/>
      <c r="D3374" s="236"/>
      <c r="E3374" s="237"/>
      <c r="G3374" s="237"/>
      <c r="H3374" s="237"/>
      <c r="I3374" s="237"/>
      <c r="K3374" s="237"/>
      <c r="N3374" s="237"/>
      <c r="O3374" s="237"/>
      <c r="P3374" s="237"/>
      <c r="Q3374" s="237"/>
      <c r="AL3374" s="226"/>
      <c r="AM3374" s="226"/>
    </row>
    <row r="3375" spans="1:39" x14ac:dyDescent="0.25">
      <c r="AA3375" s="237"/>
      <c r="AB3375" s="237"/>
      <c r="AC3375" s="237"/>
      <c r="AD3375" s="237"/>
      <c r="AE3375" s="237"/>
      <c r="AF3375" s="237"/>
      <c r="AG3375" s="237"/>
      <c r="AH3375" s="237"/>
      <c r="AJ3375" s="238"/>
    </row>
    <row r="3376" spans="1:39" x14ac:dyDescent="0.25">
      <c r="AA3376" s="237"/>
      <c r="AB3376" s="237"/>
      <c r="AC3376" s="237"/>
      <c r="AD3376" s="237"/>
      <c r="AE3376" s="237"/>
      <c r="AF3376" s="237"/>
      <c r="AG3376" s="237"/>
      <c r="AH3376" s="237"/>
      <c r="AJ3376" s="238"/>
    </row>
    <row r="3377" spans="1:39" x14ac:dyDescent="0.25">
      <c r="AA3377" s="237"/>
      <c r="AB3377" s="237"/>
      <c r="AC3377" s="237"/>
      <c r="AD3377" s="237"/>
      <c r="AE3377" s="237"/>
      <c r="AF3377" s="237"/>
      <c r="AG3377" s="237"/>
      <c r="AH3377" s="237"/>
      <c r="AJ3377" s="238"/>
    </row>
    <row r="3378" spans="1:39" x14ac:dyDescent="0.25">
      <c r="AA3378" s="237"/>
      <c r="AB3378" s="237"/>
      <c r="AC3378" s="237"/>
      <c r="AD3378" s="237"/>
      <c r="AE3378" s="237"/>
      <c r="AF3378" s="237"/>
      <c r="AG3378" s="237"/>
      <c r="AH3378" s="237"/>
      <c r="AJ3378" s="238"/>
    </row>
    <row r="3379" spans="1:39" ht="12.75" x14ac:dyDescent="0.2">
      <c r="AL3379" s="226"/>
      <c r="AM3379" s="226"/>
    </row>
    <row r="3380" spans="1:39" ht="12.75" x14ac:dyDescent="0.2">
      <c r="A3380" s="236"/>
      <c r="B3380" s="236"/>
      <c r="C3380" s="236"/>
      <c r="D3380" s="236"/>
      <c r="E3380" s="237"/>
      <c r="G3380" s="237"/>
      <c r="H3380" s="237"/>
      <c r="I3380" s="237"/>
      <c r="K3380" s="237"/>
      <c r="N3380" s="237"/>
      <c r="O3380" s="237"/>
      <c r="P3380" s="237"/>
      <c r="Q3380" s="237"/>
      <c r="AL3380" s="226"/>
      <c r="AM3380" s="226"/>
    </row>
    <row r="3381" spans="1:39" x14ac:dyDescent="0.25">
      <c r="AA3381" s="237"/>
      <c r="AB3381" s="237"/>
      <c r="AC3381" s="237"/>
      <c r="AD3381" s="237"/>
      <c r="AE3381" s="237"/>
      <c r="AF3381" s="237"/>
      <c r="AG3381" s="237"/>
      <c r="AH3381" s="237"/>
      <c r="AJ3381" s="238"/>
    </row>
    <row r="3382" spans="1:39" ht="12.75" x14ac:dyDescent="0.2">
      <c r="AL3382" s="226"/>
      <c r="AM3382" s="226"/>
    </row>
    <row r="3383" spans="1:39" ht="12.75" x14ac:dyDescent="0.2">
      <c r="A3383" s="236"/>
      <c r="B3383" s="236"/>
      <c r="C3383" s="236"/>
      <c r="D3383" s="236"/>
      <c r="E3383" s="237"/>
      <c r="G3383" s="237"/>
      <c r="H3383" s="237"/>
      <c r="I3383" s="237"/>
      <c r="K3383" s="237"/>
      <c r="N3383" s="237"/>
      <c r="O3383" s="237"/>
      <c r="P3383" s="237"/>
      <c r="Q3383" s="237"/>
      <c r="AL3383" s="226"/>
      <c r="AM3383" s="226"/>
    </row>
    <row r="3384" spans="1:39" x14ac:dyDescent="0.25">
      <c r="AA3384" s="237"/>
      <c r="AB3384" s="237"/>
      <c r="AC3384" s="237"/>
      <c r="AD3384" s="237"/>
      <c r="AE3384" s="237"/>
      <c r="AF3384" s="237"/>
      <c r="AG3384" s="237"/>
      <c r="AH3384" s="237"/>
      <c r="AJ3384" s="238"/>
    </row>
    <row r="3385" spans="1:39" x14ac:dyDescent="0.25">
      <c r="AA3385" s="237"/>
      <c r="AB3385" s="237"/>
      <c r="AC3385" s="237"/>
      <c r="AD3385" s="237"/>
      <c r="AE3385" s="237"/>
      <c r="AF3385" s="237"/>
      <c r="AG3385" s="237"/>
      <c r="AH3385" s="237"/>
      <c r="AJ3385" s="238"/>
    </row>
    <row r="3386" spans="1:39" x14ac:dyDescent="0.25">
      <c r="AA3386" s="237"/>
      <c r="AB3386" s="237"/>
      <c r="AC3386" s="237"/>
      <c r="AD3386" s="237"/>
      <c r="AE3386" s="237"/>
      <c r="AF3386" s="237"/>
      <c r="AG3386" s="237"/>
      <c r="AH3386" s="237"/>
      <c r="AJ3386" s="238"/>
    </row>
    <row r="3387" spans="1:39" x14ac:dyDescent="0.25">
      <c r="AA3387" s="237"/>
      <c r="AB3387" s="237"/>
      <c r="AC3387" s="237"/>
      <c r="AD3387" s="237"/>
      <c r="AE3387" s="237"/>
      <c r="AF3387" s="237"/>
      <c r="AG3387" s="237"/>
      <c r="AH3387" s="237"/>
      <c r="AJ3387" s="238"/>
    </row>
    <row r="3388" spans="1:39" x14ac:dyDescent="0.25">
      <c r="AA3388" s="237"/>
      <c r="AB3388" s="237"/>
      <c r="AC3388" s="237"/>
      <c r="AD3388" s="237"/>
      <c r="AE3388" s="237"/>
      <c r="AF3388" s="237"/>
      <c r="AG3388" s="237"/>
      <c r="AH3388" s="237"/>
      <c r="AJ3388" s="238"/>
    </row>
    <row r="3389" spans="1:39" x14ac:dyDescent="0.25">
      <c r="AA3389" s="237"/>
      <c r="AB3389" s="237"/>
      <c r="AC3389" s="237"/>
      <c r="AD3389" s="237"/>
      <c r="AE3389" s="237"/>
      <c r="AF3389" s="237"/>
      <c r="AG3389" s="237"/>
      <c r="AH3389" s="237"/>
      <c r="AJ3389" s="238"/>
    </row>
    <row r="3390" spans="1:39" x14ac:dyDescent="0.25">
      <c r="AA3390" s="237"/>
      <c r="AB3390" s="237"/>
      <c r="AC3390" s="237"/>
      <c r="AD3390" s="237"/>
      <c r="AE3390" s="237"/>
      <c r="AF3390" s="237"/>
      <c r="AG3390" s="237"/>
      <c r="AH3390" s="237"/>
      <c r="AJ3390" s="238"/>
    </row>
    <row r="3391" spans="1:39" x14ac:dyDescent="0.25">
      <c r="AA3391" s="237"/>
      <c r="AB3391" s="237"/>
      <c r="AC3391" s="237"/>
      <c r="AD3391" s="237"/>
      <c r="AE3391" s="237"/>
      <c r="AF3391" s="237"/>
      <c r="AG3391" s="237"/>
      <c r="AH3391" s="237"/>
      <c r="AJ3391" s="238"/>
    </row>
    <row r="3392" spans="1:39" x14ac:dyDescent="0.25">
      <c r="AA3392" s="237"/>
      <c r="AB3392" s="237"/>
      <c r="AC3392" s="237"/>
      <c r="AD3392" s="237"/>
      <c r="AE3392" s="237"/>
      <c r="AF3392" s="237"/>
      <c r="AG3392" s="237"/>
      <c r="AH3392" s="237"/>
      <c r="AJ3392" s="238"/>
    </row>
    <row r="3393" spans="1:39" x14ac:dyDescent="0.25">
      <c r="AA3393" s="237"/>
      <c r="AB3393" s="237"/>
      <c r="AC3393" s="237"/>
      <c r="AD3393" s="237"/>
      <c r="AE3393" s="237"/>
      <c r="AF3393" s="237"/>
      <c r="AG3393" s="237"/>
      <c r="AH3393" s="237"/>
      <c r="AJ3393" s="238"/>
    </row>
    <row r="3394" spans="1:39" x14ac:dyDescent="0.25">
      <c r="AA3394" s="237"/>
      <c r="AB3394" s="237"/>
      <c r="AC3394" s="237"/>
      <c r="AD3394" s="237"/>
      <c r="AE3394" s="237"/>
      <c r="AF3394" s="237"/>
      <c r="AG3394" s="237"/>
      <c r="AH3394" s="237"/>
      <c r="AJ3394" s="238"/>
    </row>
    <row r="3395" spans="1:39" x14ac:dyDescent="0.25">
      <c r="AA3395" s="237"/>
      <c r="AB3395" s="237"/>
      <c r="AC3395" s="237"/>
      <c r="AD3395" s="237"/>
      <c r="AE3395" s="237"/>
      <c r="AF3395" s="237"/>
      <c r="AG3395" s="237"/>
      <c r="AH3395" s="237"/>
      <c r="AJ3395" s="238"/>
    </row>
    <row r="3396" spans="1:39" ht="12.75" x14ac:dyDescent="0.2">
      <c r="AL3396" s="226"/>
      <c r="AM3396" s="226"/>
    </row>
    <row r="3397" spans="1:39" ht="12.75" x14ac:dyDescent="0.2">
      <c r="A3397" s="236"/>
      <c r="B3397" s="236"/>
      <c r="C3397" s="236"/>
      <c r="D3397" s="236"/>
      <c r="E3397" s="237"/>
      <c r="G3397" s="237"/>
      <c r="H3397" s="237"/>
      <c r="I3397" s="237"/>
      <c r="K3397" s="237"/>
      <c r="N3397" s="237"/>
      <c r="O3397" s="237"/>
      <c r="P3397" s="237"/>
      <c r="Q3397" s="237"/>
      <c r="AL3397" s="226"/>
      <c r="AM3397" s="226"/>
    </row>
    <row r="3398" spans="1:39" x14ac:dyDescent="0.25">
      <c r="AA3398" s="237"/>
      <c r="AB3398" s="237"/>
      <c r="AC3398" s="237"/>
      <c r="AD3398" s="237"/>
      <c r="AE3398" s="237"/>
      <c r="AF3398" s="237"/>
      <c r="AG3398" s="237"/>
      <c r="AH3398" s="237"/>
      <c r="AJ3398" s="238"/>
    </row>
    <row r="3399" spans="1:39" x14ac:dyDescent="0.25">
      <c r="AA3399" s="237"/>
      <c r="AB3399" s="237"/>
      <c r="AC3399" s="237"/>
      <c r="AD3399" s="237"/>
      <c r="AE3399" s="237"/>
      <c r="AF3399" s="237"/>
      <c r="AG3399" s="237"/>
      <c r="AH3399" s="237"/>
      <c r="AJ3399" s="238"/>
    </row>
    <row r="3400" spans="1:39" x14ac:dyDescent="0.25">
      <c r="AA3400" s="237"/>
      <c r="AB3400" s="237"/>
      <c r="AC3400" s="237"/>
      <c r="AD3400" s="237"/>
      <c r="AE3400" s="237"/>
      <c r="AF3400" s="237"/>
      <c r="AG3400" s="237"/>
      <c r="AH3400" s="237"/>
      <c r="AJ3400" s="238"/>
    </row>
    <row r="3401" spans="1:39" x14ac:dyDescent="0.25">
      <c r="AA3401" s="237"/>
      <c r="AB3401" s="237"/>
      <c r="AC3401" s="237"/>
      <c r="AD3401" s="237"/>
      <c r="AE3401" s="237"/>
      <c r="AF3401" s="237"/>
      <c r="AG3401" s="237"/>
      <c r="AH3401" s="237"/>
      <c r="AJ3401" s="238"/>
    </row>
    <row r="3402" spans="1:39" x14ac:dyDescent="0.25">
      <c r="AA3402" s="237"/>
      <c r="AB3402" s="237"/>
      <c r="AC3402" s="237"/>
      <c r="AD3402" s="237"/>
      <c r="AE3402" s="237"/>
      <c r="AF3402" s="237"/>
      <c r="AG3402" s="237"/>
      <c r="AH3402" s="237"/>
      <c r="AJ3402" s="238"/>
    </row>
    <row r="3403" spans="1:39" x14ac:dyDescent="0.25">
      <c r="AA3403" s="237"/>
      <c r="AB3403" s="237"/>
      <c r="AC3403" s="237"/>
      <c r="AD3403" s="237"/>
      <c r="AE3403" s="237"/>
      <c r="AF3403" s="237"/>
      <c r="AG3403" s="237"/>
      <c r="AH3403" s="237"/>
      <c r="AJ3403" s="238"/>
    </row>
    <row r="3404" spans="1:39" x14ac:dyDescent="0.25">
      <c r="AA3404" s="237"/>
      <c r="AB3404" s="237"/>
      <c r="AC3404" s="237"/>
      <c r="AD3404" s="237"/>
      <c r="AE3404" s="237"/>
      <c r="AF3404" s="237"/>
      <c r="AG3404" s="237"/>
      <c r="AH3404" s="237"/>
      <c r="AJ3404" s="238"/>
    </row>
    <row r="3405" spans="1:39" x14ac:dyDescent="0.25">
      <c r="AA3405" s="237"/>
      <c r="AB3405" s="237"/>
      <c r="AC3405" s="237"/>
      <c r="AD3405" s="237"/>
      <c r="AE3405" s="237"/>
      <c r="AF3405" s="237"/>
      <c r="AG3405" s="237"/>
      <c r="AH3405" s="237"/>
      <c r="AJ3405" s="238"/>
    </row>
    <row r="3406" spans="1:39" ht="12.75" x14ac:dyDescent="0.2">
      <c r="AL3406" s="226"/>
      <c r="AM3406" s="226"/>
    </row>
    <row r="3407" spans="1:39" ht="12.75" x14ac:dyDescent="0.2">
      <c r="A3407" s="236"/>
      <c r="B3407" s="236"/>
      <c r="C3407" s="236"/>
      <c r="D3407" s="236"/>
      <c r="E3407" s="237"/>
      <c r="G3407" s="237"/>
      <c r="H3407" s="237"/>
      <c r="I3407" s="237"/>
      <c r="K3407" s="237"/>
      <c r="N3407" s="237"/>
      <c r="O3407" s="237"/>
      <c r="P3407" s="237"/>
      <c r="Q3407" s="237"/>
      <c r="AL3407" s="226"/>
      <c r="AM3407" s="226"/>
    </row>
    <row r="3408" spans="1:39" x14ac:dyDescent="0.25">
      <c r="AA3408" s="237"/>
      <c r="AB3408" s="237"/>
      <c r="AC3408" s="237"/>
      <c r="AD3408" s="237"/>
      <c r="AE3408" s="237"/>
      <c r="AF3408" s="237"/>
      <c r="AG3408" s="237"/>
      <c r="AH3408" s="237"/>
      <c r="AJ3408" s="238"/>
    </row>
    <row r="3409" spans="1:39" ht="12.75" x14ac:dyDescent="0.2">
      <c r="AL3409" s="226"/>
      <c r="AM3409" s="226"/>
    </row>
    <row r="3410" spans="1:39" ht="12.75" x14ac:dyDescent="0.2">
      <c r="A3410" s="236"/>
      <c r="B3410" s="236"/>
      <c r="C3410" s="236"/>
      <c r="D3410" s="236"/>
      <c r="E3410" s="237"/>
      <c r="G3410" s="237"/>
      <c r="H3410" s="237"/>
      <c r="I3410" s="237"/>
      <c r="K3410" s="237"/>
      <c r="N3410" s="237"/>
      <c r="O3410" s="237"/>
      <c r="P3410" s="237"/>
      <c r="Q3410" s="237"/>
      <c r="AL3410" s="226"/>
      <c r="AM3410" s="226"/>
    </row>
    <row r="3411" spans="1:39" x14ac:dyDescent="0.25">
      <c r="AA3411" s="237"/>
      <c r="AB3411" s="237"/>
      <c r="AC3411" s="237"/>
      <c r="AD3411" s="237"/>
      <c r="AE3411" s="237"/>
      <c r="AF3411" s="237"/>
      <c r="AG3411" s="237"/>
      <c r="AH3411" s="237"/>
      <c r="AJ3411" s="238"/>
    </row>
    <row r="3412" spans="1:39" x14ac:dyDescent="0.25">
      <c r="AA3412" s="237"/>
      <c r="AB3412" s="237"/>
      <c r="AC3412" s="237"/>
      <c r="AD3412" s="237"/>
      <c r="AE3412" s="237"/>
      <c r="AF3412" s="237"/>
      <c r="AG3412" s="237"/>
      <c r="AH3412" s="237"/>
      <c r="AJ3412" s="238"/>
    </row>
    <row r="3413" spans="1:39" x14ac:dyDescent="0.25">
      <c r="AA3413" s="237"/>
      <c r="AB3413" s="237"/>
      <c r="AC3413" s="237"/>
      <c r="AD3413" s="237"/>
      <c r="AE3413" s="237"/>
      <c r="AF3413" s="237"/>
      <c r="AG3413" s="237"/>
      <c r="AH3413" s="237"/>
      <c r="AJ3413" s="238"/>
    </row>
    <row r="3414" spans="1:39" x14ac:dyDescent="0.25">
      <c r="AA3414" s="237"/>
      <c r="AB3414" s="237"/>
      <c r="AC3414" s="237"/>
      <c r="AD3414" s="237"/>
      <c r="AE3414" s="237"/>
      <c r="AF3414" s="237"/>
      <c r="AG3414" s="237"/>
      <c r="AH3414" s="237"/>
      <c r="AJ3414" s="238"/>
    </row>
    <row r="3415" spans="1:39" x14ac:dyDescent="0.25">
      <c r="AA3415" s="237"/>
      <c r="AB3415" s="237"/>
      <c r="AC3415" s="237"/>
      <c r="AD3415" s="237"/>
      <c r="AE3415" s="237"/>
      <c r="AF3415" s="237"/>
      <c r="AG3415" s="237"/>
      <c r="AH3415" s="237"/>
      <c r="AJ3415" s="238"/>
    </row>
    <row r="3416" spans="1:39" x14ac:dyDescent="0.25">
      <c r="AA3416" s="237"/>
      <c r="AB3416" s="237"/>
      <c r="AC3416" s="237"/>
      <c r="AD3416" s="237"/>
      <c r="AE3416" s="237"/>
      <c r="AF3416" s="237"/>
      <c r="AG3416" s="237"/>
      <c r="AH3416" s="237"/>
      <c r="AJ3416" s="238"/>
    </row>
    <row r="3417" spans="1:39" ht="12.75" x14ac:dyDescent="0.2">
      <c r="AL3417" s="226"/>
      <c r="AM3417" s="226"/>
    </row>
    <row r="3418" spans="1:39" ht="12.75" x14ac:dyDescent="0.2">
      <c r="A3418" s="236"/>
      <c r="B3418" s="236"/>
      <c r="C3418" s="236"/>
      <c r="D3418" s="236"/>
      <c r="E3418" s="237"/>
      <c r="G3418" s="237"/>
      <c r="H3418" s="237"/>
      <c r="I3418" s="237"/>
      <c r="K3418" s="237"/>
      <c r="N3418" s="237"/>
      <c r="O3418" s="237"/>
      <c r="P3418" s="237"/>
      <c r="Q3418" s="237"/>
      <c r="AL3418" s="226"/>
      <c r="AM3418" s="226"/>
    </row>
    <row r="3419" spans="1:39" x14ac:dyDescent="0.25">
      <c r="AA3419" s="237"/>
      <c r="AB3419" s="237"/>
      <c r="AC3419" s="237"/>
      <c r="AD3419" s="237"/>
      <c r="AE3419" s="237"/>
      <c r="AF3419" s="237"/>
      <c r="AG3419" s="237"/>
      <c r="AH3419" s="237"/>
      <c r="AJ3419" s="238"/>
    </row>
    <row r="3420" spans="1:39" x14ac:dyDescent="0.25">
      <c r="AA3420" s="237"/>
      <c r="AB3420" s="237"/>
      <c r="AC3420" s="237"/>
      <c r="AD3420" s="237"/>
      <c r="AE3420" s="237"/>
      <c r="AF3420" s="237"/>
      <c r="AG3420" s="237"/>
      <c r="AH3420" s="237"/>
      <c r="AJ3420" s="238"/>
    </row>
    <row r="3421" spans="1:39" x14ac:dyDescent="0.25">
      <c r="AA3421" s="237"/>
      <c r="AB3421" s="237"/>
      <c r="AC3421" s="237"/>
      <c r="AD3421" s="237"/>
      <c r="AE3421" s="237"/>
      <c r="AF3421" s="237"/>
      <c r="AG3421" s="237"/>
      <c r="AH3421" s="237"/>
      <c r="AJ3421" s="238"/>
    </row>
    <row r="3422" spans="1:39" x14ac:dyDescent="0.25">
      <c r="AA3422" s="237"/>
      <c r="AB3422" s="237"/>
      <c r="AC3422" s="237"/>
      <c r="AD3422" s="237"/>
      <c r="AE3422" s="237"/>
      <c r="AF3422" s="237"/>
      <c r="AG3422" s="237"/>
      <c r="AH3422" s="237"/>
      <c r="AJ3422" s="238"/>
    </row>
    <row r="3423" spans="1:39" ht="12.75" x14ac:dyDescent="0.2">
      <c r="AL3423" s="226"/>
      <c r="AM3423" s="226"/>
    </row>
    <row r="3424" spans="1:39" ht="12.75" x14ac:dyDescent="0.2">
      <c r="A3424" s="236"/>
      <c r="B3424" s="236"/>
      <c r="C3424" s="236"/>
      <c r="D3424" s="236"/>
      <c r="E3424" s="237"/>
      <c r="G3424" s="237"/>
      <c r="H3424" s="237"/>
      <c r="I3424" s="237"/>
      <c r="K3424" s="237"/>
      <c r="N3424" s="237"/>
      <c r="O3424" s="237"/>
      <c r="P3424" s="237"/>
      <c r="Q3424" s="237"/>
      <c r="AL3424" s="226"/>
      <c r="AM3424" s="226"/>
    </row>
    <row r="3425" spans="1:39" x14ac:dyDescent="0.25">
      <c r="AA3425" s="237"/>
      <c r="AB3425" s="237"/>
      <c r="AC3425" s="237"/>
      <c r="AD3425" s="237"/>
      <c r="AE3425" s="237"/>
      <c r="AF3425" s="237"/>
      <c r="AG3425" s="237"/>
      <c r="AH3425" s="237"/>
      <c r="AJ3425" s="238"/>
    </row>
    <row r="3426" spans="1:39" x14ac:dyDescent="0.25">
      <c r="AA3426" s="237"/>
      <c r="AB3426" s="237"/>
      <c r="AC3426" s="237"/>
      <c r="AD3426" s="237"/>
      <c r="AE3426" s="237"/>
      <c r="AF3426" s="237"/>
      <c r="AG3426" s="237"/>
      <c r="AH3426" s="237"/>
      <c r="AJ3426" s="238"/>
    </row>
    <row r="3427" spans="1:39" x14ac:dyDescent="0.25">
      <c r="AA3427" s="237"/>
      <c r="AB3427" s="237"/>
      <c r="AC3427" s="237"/>
      <c r="AD3427" s="237"/>
      <c r="AE3427" s="237"/>
      <c r="AF3427" s="237"/>
      <c r="AG3427" s="237"/>
      <c r="AH3427" s="237"/>
      <c r="AJ3427" s="238"/>
    </row>
    <row r="3428" spans="1:39" x14ac:dyDescent="0.25">
      <c r="AA3428" s="237"/>
      <c r="AB3428" s="237"/>
      <c r="AC3428" s="237"/>
      <c r="AD3428" s="237"/>
      <c r="AE3428" s="237"/>
      <c r="AF3428" s="237"/>
      <c r="AG3428" s="237"/>
      <c r="AH3428" s="237"/>
      <c r="AJ3428" s="238"/>
    </row>
    <row r="3429" spans="1:39" x14ac:dyDescent="0.25">
      <c r="AA3429" s="237"/>
      <c r="AB3429" s="237"/>
      <c r="AC3429" s="237"/>
      <c r="AD3429" s="237"/>
      <c r="AE3429" s="237"/>
      <c r="AF3429" s="237"/>
      <c r="AG3429" s="237"/>
      <c r="AH3429" s="237"/>
      <c r="AJ3429" s="238"/>
    </row>
    <row r="3430" spans="1:39" ht="12.75" x14ac:dyDescent="0.2">
      <c r="AL3430" s="226"/>
      <c r="AM3430" s="226"/>
    </row>
    <row r="3431" spans="1:39" ht="12.75" x14ac:dyDescent="0.2">
      <c r="A3431" s="236"/>
      <c r="B3431" s="236"/>
      <c r="C3431" s="236"/>
      <c r="D3431" s="236"/>
      <c r="E3431" s="237"/>
      <c r="G3431" s="237"/>
      <c r="H3431" s="237"/>
      <c r="I3431" s="237"/>
      <c r="K3431" s="237"/>
      <c r="N3431" s="237"/>
      <c r="O3431" s="237"/>
      <c r="P3431" s="237"/>
      <c r="Q3431" s="237"/>
      <c r="AL3431" s="226"/>
      <c r="AM3431" s="226"/>
    </row>
    <row r="3432" spans="1:39" x14ac:dyDescent="0.25">
      <c r="AA3432" s="237"/>
      <c r="AB3432" s="237"/>
      <c r="AC3432" s="237"/>
      <c r="AD3432" s="237"/>
      <c r="AE3432" s="237"/>
      <c r="AF3432" s="237"/>
      <c r="AG3432" s="237"/>
      <c r="AH3432" s="237"/>
      <c r="AJ3432" s="238"/>
    </row>
    <row r="3433" spans="1:39" ht="12.75" x14ac:dyDescent="0.2">
      <c r="AL3433" s="226"/>
      <c r="AM3433" s="226"/>
    </row>
    <row r="3434" spans="1:39" ht="12.75" x14ac:dyDescent="0.2">
      <c r="A3434" s="236"/>
      <c r="B3434" s="236"/>
      <c r="C3434" s="236"/>
      <c r="D3434" s="236"/>
      <c r="E3434" s="237"/>
      <c r="G3434" s="237"/>
      <c r="H3434" s="237"/>
      <c r="I3434" s="237"/>
      <c r="K3434" s="237"/>
      <c r="N3434" s="237"/>
      <c r="O3434" s="237"/>
      <c r="P3434" s="237"/>
      <c r="Q3434" s="237"/>
      <c r="AL3434" s="226"/>
      <c r="AM3434" s="226"/>
    </row>
    <row r="3435" spans="1:39" x14ac:dyDescent="0.25">
      <c r="AA3435" s="237"/>
      <c r="AB3435" s="237"/>
      <c r="AC3435" s="237"/>
      <c r="AD3435" s="237"/>
      <c r="AE3435" s="237"/>
      <c r="AF3435" s="237"/>
      <c r="AG3435" s="237"/>
      <c r="AH3435" s="237"/>
      <c r="AJ3435" s="238"/>
    </row>
    <row r="3436" spans="1:39" x14ac:dyDescent="0.25">
      <c r="AA3436" s="237"/>
      <c r="AB3436" s="237"/>
      <c r="AC3436" s="237"/>
      <c r="AD3436" s="237"/>
      <c r="AE3436" s="237"/>
      <c r="AF3436" s="237"/>
      <c r="AG3436" s="237"/>
      <c r="AH3436" s="237"/>
      <c r="AJ3436" s="238"/>
    </row>
    <row r="3437" spans="1:39" x14ac:dyDescent="0.25">
      <c r="AA3437" s="237"/>
      <c r="AB3437" s="237"/>
      <c r="AC3437" s="237"/>
      <c r="AD3437" s="237"/>
      <c r="AE3437" s="237"/>
      <c r="AF3437" s="237"/>
      <c r="AG3437" s="237"/>
      <c r="AH3437" s="237"/>
      <c r="AJ3437" s="238"/>
    </row>
    <row r="3438" spans="1:39" ht="12.75" x14ac:dyDescent="0.2">
      <c r="AL3438" s="226"/>
      <c r="AM3438" s="226"/>
    </row>
    <row r="3439" spans="1:39" ht="12.75" x14ac:dyDescent="0.2">
      <c r="A3439" s="236"/>
      <c r="B3439" s="236"/>
      <c r="C3439" s="236"/>
      <c r="D3439" s="236"/>
      <c r="E3439" s="237"/>
      <c r="G3439" s="237"/>
      <c r="H3439" s="237"/>
      <c r="I3439" s="237"/>
      <c r="K3439" s="237"/>
      <c r="N3439" s="237"/>
      <c r="O3439" s="237"/>
      <c r="P3439" s="237"/>
      <c r="Q3439" s="237"/>
      <c r="AL3439" s="226"/>
      <c r="AM3439" s="226"/>
    </row>
    <row r="3440" spans="1:39" x14ac:dyDescent="0.25">
      <c r="AA3440" s="237"/>
      <c r="AB3440" s="237"/>
      <c r="AC3440" s="237"/>
      <c r="AD3440" s="237"/>
      <c r="AE3440" s="237"/>
      <c r="AF3440" s="237"/>
      <c r="AG3440" s="237"/>
      <c r="AH3440" s="237"/>
      <c r="AJ3440" s="238"/>
    </row>
    <row r="3441" spans="1:39" x14ac:dyDescent="0.25">
      <c r="AA3441" s="237"/>
      <c r="AB3441" s="237"/>
      <c r="AC3441" s="237"/>
      <c r="AD3441" s="237"/>
      <c r="AE3441" s="237"/>
      <c r="AF3441" s="237"/>
      <c r="AG3441" s="237"/>
      <c r="AH3441" s="237"/>
      <c r="AJ3441" s="238"/>
    </row>
    <row r="3442" spans="1:39" x14ac:dyDescent="0.25">
      <c r="AA3442" s="237"/>
      <c r="AB3442" s="237"/>
      <c r="AC3442" s="237"/>
      <c r="AD3442" s="237"/>
      <c r="AE3442" s="237"/>
      <c r="AF3442" s="237"/>
      <c r="AG3442" s="237"/>
      <c r="AH3442" s="237"/>
      <c r="AJ3442" s="238"/>
    </row>
    <row r="3443" spans="1:39" x14ac:dyDescent="0.25">
      <c r="AA3443" s="237"/>
      <c r="AB3443" s="237"/>
      <c r="AC3443" s="237"/>
      <c r="AD3443" s="237"/>
      <c r="AE3443" s="237"/>
      <c r="AF3443" s="237"/>
      <c r="AG3443" s="237"/>
      <c r="AH3443" s="237"/>
      <c r="AJ3443" s="238"/>
    </row>
    <row r="3444" spans="1:39" ht="12.75" x14ac:dyDescent="0.2">
      <c r="AL3444" s="226"/>
      <c r="AM3444" s="226"/>
    </row>
    <row r="3445" spans="1:39" ht="12.75" x14ac:dyDescent="0.2">
      <c r="A3445" s="236"/>
      <c r="B3445" s="236"/>
      <c r="C3445" s="236"/>
      <c r="D3445" s="236"/>
      <c r="E3445" s="237"/>
      <c r="G3445" s="237"/>
      <c r="H3445" s="237"/>
      <c r="I3445" s="237"/>
      <c r="K3445" s="237"/>
      <c r="N3445" s="237"/>
      <c r="O3445" s="237"/>
      <c r="P3445" s="237"/>
      <c r="Q3445" s="237"/>
      <c r="AL3445" s="226"/>
      <c r="AM3445" s="226"/>
    </row>
    <row r="3446" spans="1:39" x14ac:dyDescent="0.25">
      <c r="AA3446" s="237"/>
      <c r="AB3446" s="237"/>
      <c r="AC3446" s="237"/>
      <c r="AD3446" s="237"/>
      <c r="AE3446" s="237"/>
      <c r="AF3446" s="237"/>
      <c r="AG3446" s="237"/>
      <c r="AH3446" s="237"/>
      <c r="AJ3446" s="238"/>
    </row>
    <row r="3447" spans="1:39" x14ac:dyDescent="0.25">
      <c r="AA3447" s="237"/>
      <c r="AB3447" s="237"/>
      <c r="AC3447" s="237"/>
      <c r="AD3447" s="237"/>
      <c r="AE3447" s="237"/>
      <c r="AF3447" s="237"/>
      <c r="AG3447" s="237"/>
      <c r="AH3447" s="237"/>
      <c r="AJ3447" s="238"/>
    </row>
    <row r="3448" spans="1:39" ht="12.75" x14ac:dyDescent="0.2">
      <c r="AL3448" s="226"/>
      <c r="AM3448" s="226"/>
    </row>
    <row r="3449" spans="1:39" ht="12.75" x14ac:dyDescent="0.2">
      <c r="A3449" s="236"/>
      <c r="B3449" s="236"/>
      <c r="C3449" s="236"/>
      <c r="D3449" s="236"/>
      <c r="E3449" s="237"/>
      <c r="G3449" s="237"/>
      <c r="H3449" s="237"/>
      <c r="I3449" s="237"/>
      <c r="K3449" s="237"/>
      <c r="N3449" s="237"/>
      <c r="O3449" s="237"/>
      <c r="P3449" s="237"/>
      <c r="Q3449" s="237"/>
      <c r="AL3449" s="226"/>
      <c r="AM3449" s="226"/>
    </row>
    <row r="3450" spans="1:39" x14ac:dyDescent="0.25">
      <c r="AA3450" s="237"/>
      <c r="AB3450" s="237"/>
      <c r="AC3450" s="237"/>
      <c r="AD3450" s="237"/>
      <c r="AE3450" s="237"/>
      <c r="AF3450" s="237"/>
      <c r="AG3450" s="237"/>
      <c r="AH3450" s="237"/>
      <c r="AJ3450" s="238"/>
    </row>
    <row r="3451" spans="1:39" x14ac:dyDescent="0.25">
      <c r="AA3451" s="237"/>
      <c r="AB3451" s="237"/>
      <c r="AC3451" s="237"/>
      <c r="AD3451" s="237"/>
      <c r="AE3451" s="237"/>
      <c r="AF3451" s="237"/>
      <c r="AG3451" s="237"/>
      <c r="AH3451" s="237"/>
      <c r="AJ3451" s="238"/>
    </row>
    <row r="3452" spans="1:39" x14ac:dyDescent="0.25">
      <c r="AA3452" s="237"/>
      <c r="AB3452" s="237"/>
      <c r="AC3452" s="237"/>
      <c r="AD3452" s="237"/>
      <c r="AE3452" s="237"/>
      <c r="AF3452" s="237"/>
      <c r="AG3452" s="237"/>
      <c r="AH3452" s="237"/>
      <c r="AJ3452" s="238"/>
    </row>
    <row r="3453" spans="1:39" ht="12.75" x14ac:dyDescent="0.2">
      <c r="AL3453" s="226"/>
      <c r="AM3453" s="226"/>
    </row>
    <row r="3454" spans="1:39" ht="12.75" x14ac:dyDescent="0.2">
      <c r="A3454" s="236"/>
      <c r="B3454" s="236"/>
      <c r="C3454" s="236"/>
      <c r="D3454" s="236"/>
      <c r="E3454" s="237"/>
      <c r="G3454" s="237"/>
      <c r="H3454" s="237"/>
      <c r="I3454" s="237"/>
      <c r="K3454" s="237"/>
      <c r="N3454" s="237"/>
      <c r="O3454" s="237"/>
      <c r="P3454" s="237"/>
      <c r="Q3454" s="237"/>
      <c r="AL3454" s="226"/>
      <c r="AM3454" s="226"/>
    </row>
    <row r="3455" spans="1:39" x14ac:dyDescent="0.25">
      <c r="AA3455" s="237"/>
      <c r="AB3455" s="237"/>
      <c r="AC3455" s="237"/>
      <c r="AD3455" s="237"/>
      <c r="AE3455" s="237"/>
      <c r="AF3455" s="237"/>
      <c r="AG3455" s="237"/>
      <c r="AH3455" s="237"/>
      <c r="AJ3455" s="238"/>
    </row>
    <row r="3456" spans="1:39" x14ac:dyDescent="0.25">
      <c r="AA3456" s="237"/>
      <c r="AB3456" s="237"/>
      <c r="AC3456" s="237"/>
      <c r="AD3456" s="237"/>
      <c r="AE3456" s="237"/>
      <c r="AF3456" s="237"/>
      <c r="AG3456" s="237"/>
      <c r="AH3456" s="237"/>
      <c r="AJ3456" s="238"/>
    </row>
    <row r="3457" spans="1:39" x14ac:dyDescent="0.25">
      <c r="AA3457" s="237"/>
      <c r="AB3457" s="237"/>
      <c r="AC3457" s="237"/>
      <c r="AD3457" s="237"/>
      <c r="AE3457" s="237"/>
      <c r="AF3457" s="237"/>
      <c r="AG3457" s="237"/>
      <c r="AH3457" s="237"/>
      <c r="AJ3457" s="238"/>
    </row>
    <row r="3458" spans="1:39" x14ac:dyDescent="0.25">
      <c r="AA3458" s="237"/>
      <c r="AB3458" s="237"/>
      <c r="AC3458" s="237"/>
      <c r="AD3458" s="237"/>
      <c r="AE3458" s="237"/>
      <c r="AF3458" s="237"/>
      <c r="AG3458" s="237"/>
      <c r="AH3458" s="237"/>
      <c r="AJ3458" s="238"/>
    </row>
    <row r="3459" spans="1:39" ht="12.75" x14ac:dyDescent="0.2">
      <c r="AL3459" s="226"/>
      <c r="AM3459" s="226"/>
    </row>
    <row r="3460" spans="1:39" ht="12.75" x14ac:dyDescent="0.2">
      <c r="A3460" s="236"/>
      <c r="B3460" s="236"/>
      <c r="C3460" s="236"/>
      <c r="D3460" s="236"/>
      <c r="E3460" s="237"/>
      <c r="G3460" s="237"/>
      <c r="H3460" s="237"/>
      <c r="I3460" s="237"/>
      <c r="K3460" s="237"/>
      <c r="N3460" s="237"/>
      <c r="O3460" s="237"/>
      <c r="P3460" s="237"/>
      <c r="Q3460" s="237"/>
      <c r="AL3460" s="226"/>
      <c r="AM3460" s="226"/>
    </row>
    <row r="3461" spans="1:39" x14ac:dyDescent="0.25">
      <c r="AA3461" s="237"/>
      <c r="AB3461" s="237"/>
      <c r="AC3461" s="237"/>
      <c r="AD3461" s="237"/>
      <c r="AE3461" s="237"/>
      <c r="AF3461" s="237"/>
      <c r="AG3461" s="237"/>
      <c r="AH3461" s="237"/>
      <c r="AJ3461" s="238"/>
    </row>
    <row r="3462" spans="1:39" x14ac:dyDescent="0.25">
      <c r="AA3462" s="237"/>
      <c r="AB3462" s="237"/>
      <c r="AC3462" s="237"/>
      <c r="AD3462" s="237"/>
      <c r="AE3462" s="237"/>
      <c r="AF3462" s="237"/>
      <c r="AG3462" s="237"/>
      <c r="AH3462" s="237"/>
      <c r="AJ3462" s="238"/>
    </row>
    <row r="3463" spans="1:39" x14ac:dyDescent="0.25">
      <c r="AA3463" s="237"/>
      <c r="AB3463" s="237"/>
      <c r="AC3463" s="237"/>
      <c r="AD3463" s="237"/>
      <c r="AE3463" s="237"/>
      <c r="AF3463" s="237"/>
      <c r="AG3463" s="237"/>
      <c r="AH3463" s="237"/>
      <c r="AJ3463" s="238"/>
    </row>
    <row r="3464" spans="1:39" x14ac:dyDescent="0.25">
      <c r="AA3464" s="237"/>
      <c r="AB3464" s="237"/>
      <c r="AC3464" s="237"/>
      <c r="AD3464" s="237"/>
      <c r="AE3464" s="237"/>
      <c r="AF3464" s="237"/>
      <c r="AG3464" s="237"/>
      <c r="AH3464" s="237"/>
      <c r="AJ3464" s="238"/>
    </row>
    <row r="3465" spans="1:39" x14ac:dyDescent="0.25">
      <c r="AA3465" s="237"/>
      <c r="AB3465" s="237"/>
      <c r="AC3465" s="237"/>
      <c r="AD3465" s="237"/>
      <c r="AE3465" s="237"/>
      <c r="AF3465" s="237"/>
      <c r="AG3465" s="237"/>
      <c r="AH3465" s="237"/>
      <c r="AJ3465" s="238"/>
    </row>
    <row r="3466" spans="1:39" x14ac:dyDescent="0.25">
      <c r="AA3466" s="237"/>
      <c r="AB3466" s="237"/>
      <c r="AC3466" s="237"/>
      <c r="AD3466" s="237"/>
      <c r="AE3466" s="237"/>
      <c r="AF3466" s="237"/>
      <c r="AG3466" s="237"/>
      <c r="AH3466" s="237"/>
      <c r="AJ3466" s="238"/>
    </row>
    <row r="3467" spans="1:39" ht="12.75" x14ac:dyDescent="0.2">
      <c r="AL3467" s="226"/>
      <c r="AM3467" s="226"/>
    </row>
    <row r="3468" spans="1:39" ht="12.75" x14ac:dyDescent="0.2">
      <c r="A3468" s="236"/>
      <c r="B3468" s="236"/>
      <c r="C3468" s="236"/>
      <c r="D3468" s="236"/>
      <c r="E3468" s="237"/>
      <c r="G3468" s="237"/>
      <c r="H3468" s="237"/>
      <c r="I3468" s="237"/>
      <c r="K3468" s="237"/>
      <c r="N3468" s="237"/>
      <c r="O3468" s="237"/>
      <c r="P3468" s="237"/>
      <c r="Q3468" s="237"/>
      <c r="AL3468" s="226"/>
      <c r="AM3468" s="226"/>
    </row>
    <row r="3469" spans="1:39" x14ac:dyDescent="0.25">
      <c r="AA3469" s="237"/>
      <c r="AB3469" s="237"/>
      <c r="AC3469" s="237"/>
      <c r="AD3469" s="237"/>
      <c r="AE3469" s="237"/>
      <c r="AF3469" s="237"/>
      <c r="AG3469" s="237"/>
      <c r="AH3469" s="237"/>
      <c r="AJ3469" s="238"/>
    </row>
    <row r="3470" spans="1:39" ht="12.75" x14ac:dyDescent="0.2">
      <c r="AL3470" s="226"/>
      <c r="AM3470" s="226"/>
    </row>
    <row r="3471" spans="1:39" ht="12.75" x14ac:dyDescent="0.2">
      <c r="A3471" s="236"/>
      <c r="B3471" s="236"/>
      <c r="C3471" s="236"/>
      <c r="D3471" s="236"/>
      <c r="E3471" s="237"/>
      <c r="G3471" s="237"/>
      <c r="H3471" s="237"/>
      <c r="I3471" s="237"/>
      <c r="K3471" s="237"/>
      <c r="N3471" s="237"/>
      <c r="O3471" s="237"/>
      <c r="P3471" s="237"/>
      <c r="Q3471" s="237"/>
      <c r="AL3471" s="226"/>
      <c r="AM3471" s="226"/>
    </row>
    <row r="3472" spans="1:39" x14ac:dyDescent="0.25">
      <c r="AA3472" s="237"/>
      <c r="AB3472" s="237"/>
      <c r="AC3472" s="237"/>
      <c r="AD3472" s="237"/>
      <c r="AE3472" s="237"/>
      <c r="AF3472" s="237"/>
      <c r="AG3472" s="237"/>
      <c r="AH3472" s="237"/>
      <c r="AJ3472" s="238"/>
    </row>
    <row r="3473" spans="1:39" x14ac:dyDescent="0.25">
      <c r="AA3473" s="237"/>
      <c r="AB3473" s="237"/>
      <c r="AC3473" s="237"/>
      <c r="AD3473" s="237"/>
      <c r="AE3473" s="237"/>
      <c r="AF3473" s="237"/>
      <c r="AG3473" s="237"/>
      <c r="AH3473" s="237"/>
      <c r="AJ3473" s="238"/>
    </row>
    <row r="3474" spans="1:39" x14ac:dyDescent="0.25">
      <c r="AA3474" s="237"/>
      <c r="AB3474" s="237"/>
      <c r="AC3474" s="237"/>
      <c r="AD3474" s="237"/>
      <c r="AE3474" s="237"/>
      <c r="AF3474" s="237"/>
      <c r="AG3474" s="237"/>
      <c r="AH3474" s="237"/>
      <c r="AJ3474" s="238"/>
    </row>
    <row r="3475" spans="1:39" x14ac:dyDescent="0.25">
      <c r="AA3475" s="237"/>
      <c r="AB3475" s="237"/>
      <c r="AC3475" s="237"/>
      <c r="AD3475" s="237"/>
      <c r="AE3475" s="237"/>
      <c r="AF3475" s="237"/>
      <c r="AG3475" s="237"/>
      <c r="AH3475" s="237"/>
      <c r="AJ3475" s="238"/>
    </row>
    <row r="3476" spans="1:39" ht="12.75" x14ac:dyDescent="0.2">
      <c r="AL3476" s="226"/>
      <c r="AM3476" s="226"/>
    </row>
    <row r="3477" spans="1:39" ht="12.75" x14ac:dyDescent="0.2">
      <c r="A3477" s="236"/>
      <c r="B3477" s="236"/>
      <c r="C3477" s="236"/>
      <c r="D3477" s="236"/>
      <c r="E3477" s="237"/>
      <c r="G3477" s="237"/>
      <c r="H3477" s="237"/>
      <c r="I3477" s="237"/>
      <c r="K3477" s="237"/>
      <c r="N3477" s="237"/>
      <c r="O3477" s="237"/>
      <c r="P3477" s="237"/>
      <c r="Q3477" s="237"/>
      <c r="AL3477" s="226"/>
      <c r="AM3477" s="226"/>
    </row>
    <row r="3478" spans="1:39" x14ac:dyDescent="0.25">
      <c r="AA3478" s="237"/>
      <c r="AB3478" s="237"/>
      <c r="AC3478" s="237"/>
      <c r="AD3478" s="237"/>
      <c r="AE3478" s="237"/>
      <c r="AF3478" s="237"/>
      <c r="AG3478" s="237"/>
      <c r="AH3478" s="237"/>
      <c r="AJ3478" s="238"/>
    </row>
    <row r="3479" spans="1:39" x14ac:dyDescent="0.25">
      <c r="AA3479" s="237"/>
      <c r="AB3479" s="237"/>
      <c r="AC3479" s="237"/>
      <c r="AD3479" s="237"/>
      <c r="AE3479" s="237"/>
      <c r="AF3479" s="237"/>
      <c r="AG3479" s="237"/>
      <c r="AH3479" s="237"/>
      <c r="AJ3479" s="238"/>
    </row>
    <row r="3480" spans="1:39" ht="12.75" x14ac:dyDescent="0.2">
      <c r="AL3480" s="226"/>
      <c r="AM3480" s="226"/>
    </row>
    <row r="3481" spans="1:39" ht="12.75" x14ac:dyDescent="0.2">
      <c r="A3481" s="236"/>
      <c r="B3481" s="236"/>
      <c r="C3481" s="236"/>
      <c r="D3481" s="236"/>
      <c r="E3481" s="237"/>
      <c r="G3481" s="237"/>
      <c r="H3481" s="237"/>
      <c r="I3481" s="237"/>
      <c r="K3481" s="237"/>
      <c r="N3481" s="237"/>
      <c r="O3481" s="237"/>
      <c r="P3481" s="237"/>
      <c r="Q3481" s="237"/>
      <c r="AL3481" s="226"/>
      <c r="AM3481" s="226"/>
    </row>
    <row r="3482" spans="1:39" x14ac:dyDescent="0.25">
      <c r="AA3482" s="237"/>
      <c r="AB3482" s="237"/>
      <c r="AC3482" s="237"/>
      <c r="AD3482" s="237"/>
      <c r="AE3482" s="237"/>
      <c r="AF3482" s="237"/>
      <c r="AG3482" s="237"/>
      <c r="AH3482" s="237"/>
      <c r="AJ3482" s="238"/>
    </row>
    <row r="3483" spans="1:39" ht="12.75" x14ac:dyDescent="0.2">
      <c r="AL3483" s="226"/>
      <c r="AM3483" s="226"/>
    </row>
    <row r="3484" spans="1:39" ht="12.75" x14ac:dyDescent="0.2">
      <c r="A3484" s="244"/>
      <c r="B3484" s="244"/>
      <c r="C3484" s="244"/>
      <c r="D3484" s="244"/>
      <c r="E3484" s="245"/>
      <c r="F3484" s="246"/>
      <c r="G3484" s="245"/>
      <c r="H3484" s="245"/>
      <c r="I3484" s="245"/>
      <c r="J3484" s="246"/>
      <c r="K3484" s="245"/>
      <c r="L3484" s="246"/>
      <c r="M3484" s="246"/>
      <c r="N3484" s="245"/>
      <c r="O3484" s="245"/>
      <c r="P3484" s="245"/>
      <c r="Q3484" s="245"/>
      <c r="AL3484" s="226"/>
      <c r="AM3484" s="226"/>
    </row>
    <row r="3485" spans="1:39" ht="12.75" x14ac:dyDescent="0.2">
      <c r="A3485" s="244"/>
      <c r="B3485" s="244"/>
      <c r="C3485" s="244"/>
      <c r="D3485" s="244"/>
      <c r="E3485" s="245"/>
      <c r="F3485" s="246"/>
      <c r="G3485" s="245"/>
      <c r="H3485" s="245"/>
      <c r="I3485" s="245"/>
      <c r="J3485" s="246"/>
      <c r="K3485" s="245"/>
      <c r="L3485" s="246"/>
      <c r="M3485" s="246"/>
      <c r="N3485" s="245"/>
      <c r="O3485" s="245"/>
      <c r="P3485" s="245"/>
      <c r="Q3485" s="245"/>
      <c r="AL3485" s="226"/>
      <c r="AM3485" s="226"/>
    </row>
    <row r="3486" spans="1:39" ht="12.75" x14ac:dyDescent="0.2">
      <c r="A3486" s="244"/>
      <c r="B3486" s="244"/>
      <c r="C3486" s="244"/>
      <c r="D3486" s="244"/>
      <c r="E3486" s="245"/>
      <c r="F3486" s="246"/>
      <c r="G3486" s="245"/>
      <c r="H3486" s="245"/>
      <c r="I3486" s="245"/>
      <c r="J3486" s="246"/>
      <c r="K3486" s="245"/>
      <c r="L3486" s="246"/>
      <c r="M3486" s="246"/>
      <c r="N3486" s="245"/>
      <c r="O3486" s="245"/>
      <c r="P3486" s="245"/>
      <c r="Q3486" s="245"/>
      <c r="AL3486" s="226"/>
      <c r="AM3486" s="226"/>
    </row>
    <row r="3487" spans="1:39" ht="12.75" x14ac:dyDescent="0.2">
      <c r="A3487" s="244"/>
      <c r="B3487" s="244"/>
      <c r="C3487" s="244"/>
      <c r="D3487" s="244"/>
      <c r="E3487" s="245"/>
      <c r="F3487" s="246"/>
      <c r="G3487" s="245"/>
      <c r="H3487" s="245"/>
      <c r="I3487" s="245"/>
      <c r="J3487" s="246"/>
      <c r="K3487" s="245"/>
      <c r="L3487" s="246"/>
      <c r="M3487" s="246"/>
      <c r="N3487" s="245"/>
      <c r="O3487" s="245"/>
      <c r="P3487" s="245"/>
      <c r="Q3487" s="245"/>
      <c r="AL3487" s="226"/>
      <c r="AM3487" s="226"/>
    </row>
    <row r="3488" spans="1:39" ht="13.5" thickBot="1" x14ac:dyDescent="0.25">
      <c r="A3488" s="247"/>
      <c r="B3488" s="247"/>
      <c r="C3488" s="247"/>
      <c r="D3488" s="247"/>
      <c r="E3488" s="248"/>
      <c r="F3488" s="249"/>
      <c r="G3488" s="248"/>
      <c r="H3488" s="248"/>
      <c r="I3488" s="248"/>
      <c r="J3488" s="249"/>
      <c r="K3488" s="248"/>
      <c r="L3488" s="249"/>
      <c r="M3488" s="249"/>
      <c r="N3488" s="248"/>
      <c r="O3488" s="248"/>
      <c r="P3488" s="248"/>
      <c r="Q3488" s="248"/>
      <c r="R3488" s="242"/>
      <c r="S3488" s="242"/>
      <c r="T3488" s="242"/>
      <c r="U3488" s="242"/>
      <c r="V3488" s="242"/>
      <c r="W3488" s="242"/>
      <c r="X3488" s="242"/>
      <c r="Y3488" s="242"/>
      <c r="Z3488" s="242"/>
      <c r="AA3488" s="242"/>
      <c r="AB3488" s="242"/>
      <c r="AC3488" s="242"/>
      <c r="AD3488" s="242"/>
      <c r="AE3488" s="242"/>
      <c r="AF3488" s="242"/>
      <c r="AG3488" s="242"/>
      <c r="AH3488" s="242"/>
      <c r="AL3488" s="226"/>
      <c r="AM3488" s="226"/>
    </row>
    <row r="3489" spans="1:39" ht="12.75" x14ac:dyDescent="0.2">
      <c r="A3489" s="236"/>
      <c r="B3489" s="236"/>
      <c r="C3489" s="236"/>
      <c r="D3489" s="236"/>
      <c r="E3489" s="237"/>
      <c r="G3489" s="237"/>
      <c r="H3489" s="237"/>
      <c r="I3489" s="237"/>
      <c r="K3489" s="237"/>
      <c r="N3489" s="237"/>
      <c r="O3489" s="237"/>
      <c r="P3489" s="237"/>
      <c r="Q3489" s="237"/>
      <c r="AL3489" s="226"/>
      <c r="AM3489" s="226"/>
    </row>
    <row r="3490" spans="1:39" x14ac:dyDescent="0.25">
      <c r="AA3490" s="237"/>
      <c r="AB3490" s="237"/>
      <c r="AC3490" s="237"/>
      <c r="AD3490" s="237"/>
      <c r="AE3490" s="237"/>
      <c r="AF3490" s="237"/>
      <c r="AG3490" s="237"/>
      <c r="AH3490" s="237"/>
      <c r="AJ3490" s="238"/>
    </row>
    <row r="3491" spans="1:39" x14ac:dyDescent="0.25">
      <c r="AA3491" s="237"/>
      <c r="AB3491" s="237"/>
      <c r="AC3491" s="237"/>
      <c r="AD3491" s="237"/>
      <c r="AE3491" s="237"/>
      <c r="AF3491" s="237"/>
      <c r="AG3491" s="237"/>
      <c r="AH3491" s="237"/>
      <c r="AJ3491" s="238"/>
    </row>
    <row r="3492" spans="1:39" x14ac:dyDescent="0.25">
      <c r="AA3492" s="237"/>
      <c r="AB3492" s="237"/>
      <c r="AC3492" s="237"/>
      <c r="AD3492" s="237"/>
      <c r="AE3492" s="237"/>
      <c r="AF3492" s="237"/>
      <c r="AG3492" s="237"/>
      <c r="AH3492" s="237"/>
      <c r="AJ3492" s="238"/>
    </row>
    <row r="3493" spans="1:39" x14ac:dyDescent="0.25">
      <c r="AA3493" s="237"/>
      <c r="AB3493" s="237"/>
      <c r="AC3493" s="237"/>
      <c r="AD3493" s="237"/>
      <c r="AE3493" s="237"/>
      <c r="AF3493" s="237"/>
      <c r="AG3493" s="237"/>
      <c r="AH3493" s="237"/>
      <c r="AJ3493" s="238"/>
    </row>
    <row r="3494" spans="1:39" ht="12.75" x14ac:dyDescent="0.2">
      <c r="AL3494" s="226"/>
      <c r="AM3494" s="226"/>
    </row>
    <row r="3495" spans="1:39" ht="12.75" x14ac:dyDescent="0.2">
      <c r="A3495" s="236"/>
      <c r="B3495" s="236"/>
      <c r="C3495" s="236"/>
      <c r="D3495" s="236"/>
      <c r="E3495" s="237"/>
      <c r="G3495" s="237"/>
      <c r="H3495" s="237"/>
      <c r="I3495" s="237"/>
      <c r="K3495" s="237"/>
      <c r="N3495" s="237"/>
      <c r="O3495" s="237"/>
      <c r="P3495" s="237"/>
      <c r="Q3495" s="237"/>
      <c r="AL3495" s="226"/>
      <c r="AM3495" s="226"/>
    </row>
    <row r="3496" spans="1:39" x14ac:dyDescent="0.25">
      <c r="AA3496" s="237"/>
      <c r="AB3496" s="237"/>
      <c r="AC3496" s="237"/>
      <c r="AD3496" s="237"/>
      <c r="AE3496" s="237"/>
      <c r="AF3496" s="237"/>
      <c r="AG3496" s="237"/>
      <c r="AH3496" s="237"/>
      <c r="AJ3496" s="238"/>
    </row>
    <row r="3497" spans="1:39" x14ac:dyDescent="0.25">
      <c r="AA3497" s="237"/>
      <c r="AB3497" s="237"/>
      <c r="AC3497" s="237"/>
      <c r="AD3497" s="237"/>
      <c r="AE3497" s="237"/>
      <c r="AF3497" s="237"/>
      <c r="AG3497" s="237"/>
      <c r="AH3497" s="237"/>
      <c r="AJ3497" s="238"/>
    </row>
    <row r="3498" spans="1:39" ht="12.75" x14ac:dyDescent="0.2">
      <c r="AL3498" s="226"/>
      <c r="AM3498" s="226"/>
    </row>
    <row r="3499" spans="1:39" ht="12.75" x14ac:dyDescent="0.2">
      <c r="A3499" s="236"/>
      <c r="B3499" s="236"/>
      <c r="C3499" s="236"/>
      <c r="D3499" s="236"/>
      <c r="E3499" s="237"/>
      <c r="G3499" s="237"/>
      <c r="H3499" s="237"/>
      <c r="I3499" s="237"/>
      <c r="K3499" s="237"/>
      <c r="N3499" s="237"/>
      <c r="O3499" s="237"/>
      <c r="P3499" s="237"/>
      <c r="Q3499" s="237"/>
      <c r="AL3499" s="226"/>
      <c r="AM3499" s="226"/>
    </row>
    <row r="3500" spans="1:39" x14ac:dyDescent="0.25">
      <c r="AA3500" s="237"/>
      <c r="AB3500" s="237"/>
      <c r="AC3500" s="237"/>
      <c r="AD3500" s="237"/>
      <c r="AE3500" s="237"/>
      <c r="AF3500" s="237"/>
      <c r="AG3500" s="237"/>
      <c r="AH3500" s="237"/>
      <c r="AJ3500" s="238"/>
    </row>
    <row r="3501" spans="1:39" ht="12.75" x14ac:dyDescent="0.2">
      <c r="AL3501" s="226"/>
      <c r="AM3501" s="226"/>
    </row>
    <row r="3502" spans="1:39" ht="12.75" x14ac:dyDescent="0.2">
      <c r="A3502" s="236"/>
      <c r="B3502" s="236"/>
      <c r="C3502" s="236"/>
      <c r="D3502" s="236"/>
      <c r="E3502" s="237"/>
      <c r="G3502" s="237"/>
      <c r="H3502" s="237"/>
      <c r="I3502" s="237"/>
      <c r="K3502" s="237"/>
      <c r="N3502" s="237"/>
      <c r="O3502" s="237"/>
      <c r="P3502" s="237"/>
      <c r="Q3502" s="237"/>
      <c r="AL3502" s="226"/>
      <c r="AM3502" s="226"/>
    </row>
    <row r="3503" spans="1:39" x14ac:dyDescent="0.25">
      <c r="AA3503" s="237"/>
      <c r="AB3503" s="237"/>
      <c r="AC3503" s="237"/>
      <c r="AD3503" s="237"/>
      <c r="AE3503" s="237"/>
      <c r="AF3503" s="237"/>
      <c r="AG3503" s="237"/>
      <c r="AH3503" s="237"/>
      <c r="AJ3503" s="238"/>
    </row>
    <row r="3504" spans="1:39" ht="12.75" x14ac:dyDescent="0.2">
      <c r="AL3504" s="226"/>
      <c r="AM3504" s="226"/>
    </row>
    <row r="3505" spans="1:39" ht="12.75" x14ac:dyDescent="0.2">
      <c r="A3505" s="236"/>
      <c r="B3505" s="236"/>
      <c r="C3505" s="236"/>
      <c r="D3505" s="236"/>
      <c r="E3505" s="237"/>
      <c r="G3505" s="237"/>
      <c r="H3505" s="237"/>
      <c r="I3505" s="237"/>
      <c r="K3505" s="237"/>
      <c r="N3505" s="237"/>
      <c r="O3505" s="237"/>
      <c r="P3505" s="237"/>
      <c r="Q3505" s="237"/>
      <c r="AL3505" s="226"/>
      <c r="AM3505" s="226"/>
    </row>
    <row r="3506" spans="1:39" x14ac:dyDescent="0.25">
      <c r="AA3506" s="237"/>
      <c r="AB3506" s="237"/>
      <c r="AC3506" s="237"/>
      <c r="AD3506" s="237"/>
      <c r="AE3506" s="237"/>
      <c r="AF3506" s="237"/>
      <c r="AG3506" s="237"/>
      <c r="AH3506" s="237"/>
      <c r="AJ3506" s="238"/>
    </row>
    <row r="3507" spans="1:39" ht="12.75" x14ac:dyDescent="0.2">
      <c r="AL3507" s="226"/>
      <c r="AM3507" s="226"/>
    </row>
    <row r="3508" spans="1:39" ht="12.75" x14ac:dyDescent="0.2">
      <c r="A3508" s="236"/>
      <c r="B3508" s="236"/>
      <c r="C3508" s="236"/>
      <c r="D3508" s="236"/>
      <c r="E3508" s="237"/>
      <c r="G3508" s="237"/>
      <c r="H3508" s="237"/>
      <c r="I3508" s="237"/>
      <c r="K3508" s="237"/>
      <c r="N3508" s="237"/>
      <c r="O3508" s="237"/>
      <c r="P3508" s="237"/>
      <c r="Q3508" s="237"/>
      <c r="AL3508" s="226"/>
      <c r="AM3508" s="226"/>
    </row>
    <row r="3509" spans="1:39" x14ac:dyDescent="0.25">
      <c r="AA3509" s="237"/>
      <c r="AB3509" s="237"/>
      <c r="AC3509" s="237"/>
      <c r="AD3509" s="237"/>
      <c r="AE3509" s="237"/>
      <c r="AF3509" s="237"/>
      <c r="AG3509" s="237"/>
      <c r="AH3509" s="237"/>
      <c r="AJ3509" s="238"/>
    </row>
    <row r="3510" spans="1:39" x14ac:dyDescent="0.25">
      <c r="AA3510" s="237"/>
      <c r="AB3510" s="237"/>
      <c r="AC3510" s="237"/>
      <c r="AD3510" s="237"/>
      <c r="AE3510" s="237"/>
      <c r="AF3510" s="237"/>
      <c r="AG3510" s="237"/>
      <c r="AH3510" s="237"/>
      <c r="AJ3510" s="238"/>
    </row>
    <row r="3511" spans="1:39" ht="12.75" x14ac:dyDescent="0.2">
      <c r="AL3511" s="226"/>
      <c r="AM3511" s="226"/>
    </row>
    <row r="3512" spans="1:39" ht="12.75" x14ac:dyDescent="0.2">
      <c r="A3512" s="236"/>
      <c r="B3512" s="236"/>
      <c r="C3512" s="236"/>
      <c r="D3512" s="236"/>
      <c r="E3512" s="237"/>
      <c r="G3512" s="237"/>
      <c r="H3512" s="237"/>
      <c r="I3512" s="237"/>
      <c r="K3512" s="237"/>
      <c r="N3512" s="237"/>
      <c r="O3512" s="237"/>
      <c r="P3512" s="237"/>
      <c r="Q3512" s="237"/>
      <c r="AL3512" s="226"/>
      <c r="AM3512" s="226"/>
    </row>
    <row r="3513" spans="1:39" x14ac:dyDescent="0.25">
      <c r="AA3513" s="237"/>
      <c r="AB3513" s="237"/>
      <c r="AC3513" s="237"/>
      <c r="AD3513" s="237"/>
      <c r="AE3513" s="237"/>
      <c r="AF3513" s="237"/>
      <c r="AG3513" s="237"/>
      <c r="AH3513" s="237"/>
      <c r="AJ3513" s="238"/>
    </row>
    <row r="3514" spans="1:39" ht="12.75" x14ac:dyDescent="0.2">
      <c r="AL3514" s="226"/>
      <c r="AM3514" s="226"/>
    </row>
    <row r="3515" spans="1:39" ht="12.75" x14ac:dyDescent="0.2">
      <c r="A3515" s="236"/>
      <c r="B3515" s="236"/>
      <c r="C3515" s="236"/>
      <c r="D3515" s="236"/>
      <c r="E3515" s="237"/>
      <c r="G3515" s="237"/>
      <c r="H3515" s="237"/>
      <c r="I3515" s="237"/>
      <c r="K3515" s="237"/>
      <c r="N3515" s="237"/>
      <c r="O3515" s="237"/>
      <c r="P3515" s="237"/>
      <c r="Q3515" s="237"/>
      <c r="AL3515" s="226"/>
      <c r="AM3515" s="226"/>
    </row>
    <row r="3516" spans="1:39" x14ac:dyDescent="0.25">
      <c r="AA3516" s="237"/>
      <c r="AB3516" s="237"/>
      <c r="AC3516" s="237"/>
      <c r="AD3516" s="237"/>
      <c r="AE3516" s="237"/>
      <c r="AF3516" s="237"/>
      <c r="AG3516" s="237"/>
      <c r="AH3516" s="237"/>
      <c r="AJ3516" s="238"/>
    </row>
    <row r="3517" spans="1:39" x14ac:dyDescent="0.25">
      <c r="AA3517" s="237"/>
      <c r="AB3517" s="237"/>
      <c r="AC3517" s="237"/>
      <c r="AD3517" s="237"/>
      <c r="AE3517" s="237"/>
      <c r="AF3517" s="237"/>
      <c r="AG3517" s="237"/>
      <c r="AH3517" s="237"/>
      <c r="AJ3517" s="238"/>
    </row>
    <row r="3518" spans="1:39" ht="12.75" x14ac:dyDescent="0.2">
      <c r="AL3518" s="226"/>
      <c r="AM3518" s="226"/>
    </row>
    <row r="3519" spans="1:39" ht="12.75" x14ac:dyDescent="0.2">
      <c r="A3519" s="236"/>
      <c r="B3519" s="236"/>
      <c r="C3519" s="236"/>
      <c r="D3519" s="236"/>
      <c r="E3519" s="237"/>
      <c r="G3519" s="237"/>
      <c r="H3519" s="237"/>
      <c r="I3519" s="237"/>
      <c r="K3519" s="237"/>
      <c r="N3519" s="237"/>
      <c r="O3519" s="237"/>
      <c r="P3519" s="237"/>
      <c r="Q3519" s="237"/>
      <c r="AL3519" s="226"/>
      <c r="AM3519" s="226"/>
    </row>
    <row r="3520" spans="1:39" x14ac:dyDescent="0.25">
      <c r="AA3520" s="237"/>
      <c r="AB3520" s="237"/>
      <c r="AC3520" s="237"/>
      <c r="AD3520" s="237"/>
      <c r="AE3520" s="237"/>
      <c r="AF3520" s="237"/>
      <c r="AG3520" s="237"/>
      <c r="AH3520" s="237"/>
      <c r="AJ3520" s="238"/>
    </row>
    <row r="3521" spans="1:39" x14ac:dyDescent="0.25">
      <c r="AA3521" s="237"/>
      <c r="AB3521" s="237"/>
      <c r="AC3521" s="237"/>
      <c r="AD3521" s="237"/>
      <c r="AE3521" s="237"/>
      <c r="AF3521" s="237"/>
      <c r="AG3521" s="237"/>
      <c r="AH3521" s="237"/>
      <c r="AJ3521" s="238"/>
    </row>
    <row r="3522" spans="1:39" ht="12.75" x14ac:dyDescent="0.2">
      <c r="AL3522" s="226"/>
      <c r="AM3522" s="226"/>
    </row>
    <row r="3523" spans="1:39" ht="12.75" x14ac:dyDescent="0.2">
      <c r="A3523" s="236"/>
      <c r="B3523" s="236"/>
      <c r="C3523" s="236"/>
      <c r="D3523" s="236"/>
      <c r="E3523" s="237"/>
      <c r="G3523" s="237"/>
      <c r="H3523" s="237"/>
      <c r="I3523" s="237"/>
      <c r="K3523" s="237"/>
      <c r="N3523" s="237"/>
      <c r="O3523" s="237"/>
      <c r="P3523" s="237"/>
      <c r="Q3523" s="237"/>
      <c r="AL3523" s="226"/>
      <c r="AM3523" s="226"/>
    </row>
    <row r="3524" spans="1:39" x14ac:dyDescent="0.25">
      <c r="AA3524" s="237"/>
      <c r="AB3524" s="237"/>
      <c r="AC3524" s="237"/>
      <c r="AD3524" s="237"/>
      <c r="AE3524" s="237"/>
      <c r="AF3524" s="237"/>
      <c r="AG3524" s="237"/>
      <c r="AH3524" s="237"/>
      <c r="AJ3524" s="238"/>
    </row>
    <row r="3525" spans="1:39" x14ac:dyDescent="0.25">
      <c r="AA3525" s="237"/>
      <c r="AB3525" s="237"/>
      <c r="AC3525" s="237"/>
      <c r="AD3525" s="237"/>
      <c r="AE3525" s="237"/>
      <c r="AF3525" s="237"/>
      <c r="AG3525" s="237"/>
      <c r="AH3525" s="237"/>
      <c r="AJ3525" s="238"/>
    </row>
    <row r="3526" spans="1:39" x14ac:dyDescent="0.25">
      <c r="AA3526" s="237"/>
      <c r="AB3526" s="237"/>
      <c r="AC3526" s="237"/>
      <c r="AD3526" s="237"/>
      <c r="AE3526" s="237"/>
      <c r="AF3526" s="237"/>
      <c r="AG3526" s="237"/>
      <c r="AH3526" s="237"/>
      <c r="AJ3526" s="238"/>
    </row>
    <row r="3527" spans="1:39" ht="12.75" x14ac:dyDescent="0.2">
      <c r="AL3527" s="226"/>
      <c r="AM3527" s="226"/>
    </row>
    <row r="3528" spans="1:39" ht="12.75" x14ac:dyDescent="0.2">
      <c r="A3528" s="236"/>
      <c r="B3528" s="236"/>
      <c r="C3528" s="236"/>
      <c r="D3528" s="236"/>
      <c r="E3528" s="237"/>
      <c r="G3528" s="237"/>
      <c r="H3528" s="237"/>
      <c r="I3528" s="237"/>
      <c r="K3528" s="237"/>
      <c r="N3528" s="237"/>
      <c r="O3528" s="237"/>
      <c r="P3528" s="237"/>
      <c r="Q3528" s="237"/>
      <c r="AL3528" s="226"/>
      <c r="AM3528" s="226"/>
    </row>
    <row r="3529" spans="1:39" x14ac:dyDescent="0.25">
      <c r="AA3529" s="237"/>
      <c r="AB3529" s="237"/>
      <c r="AC3529" s="237"/>
      <c r="AD3529" s="237"/>
      <c r="AE3529" s="237"/>
      <c r="AF3529" s="237"/>
      <c r="AG3529" s="237"/>
      <c r="AH3529" s="237"/>
      <c r="AJ3529" s="238"/>
    </row>
    <row r="3530" spans="1:39" ht="12.75" x14ac:dyDescent="0.2">
      <c r="AL3530" s="226"/>
      <c r="AM3530" s="226"/>
    </row>
    <row r="3531" spans="1:39" ht="12.75" x14ac:dyDescent="0.2">
      <c r="A3531" s="236"/>
      <c r="B3531" s="236"/>
      <c r="C3531" s="236"/>
      <c r="D3531" s="236"/>
      <c r="E3531" s="237"/>
      <c r="G3531" s="237"/>
      <c r="H3531" s="237"/>
      <c r="I3531" s="237"/>
      <c r="K3531" s="237"/>
      <c r="N3531" s="237"/>
      <c r="O3531" s="237"/>
      <c r="P3531" s="237"/>
      <c r="Q3531" s="237"/>
      <c r="AL3531" s="226"/>
      <c r="AM3531" s="226"/>
    </row>
    <row r="3532" spans="1:39" x14ac:dyDescent="0.25">
      <c r="AA3532" s="237"/>
      <c r="AB3532" s="237"/>
      <c r="AC3532" s="237"/>
      <c r="AD3532" s="237"/>
      <c r="AE3532" s="237"/>
      <c r="AF3532" s="237"/>
      <c r="AG3532" s="237"/>
      <c r="AH3532" s="237"/>
      <c r="AJ3532" s="238"/>
    </row>
    <row r="3533" spans="1:39" ht="12.75" x14ac:dyDescent="0.2">
      <c r="AL3533" s="226"/>
      <c r="AM3533" s="226"/>
    </row>
    <row r="3534" spans="1:39" ht="12.75" x14ac:dyDescent="0.2">
      <c r="A3534" s="236"/>
      <c r="B3534" s="236"/>
      <c r="C3534" s="236"/>
      <c r="D3534" s="236"/>
      <c r="E3534" s="237"/>
      <c r="G3534" s="237"/>
      <c r="H3534" s="237"/>
      <c r="I3534" s="237"/>
      <c r="K3534" s="237"/>
      <c r="N3534" s="237"/>
      <c r="O3534" s="237"/>
      <c r="P3534" s="237"/>
      <c r="Q3534" s="237"/>
      <c r="AL3534" s="226"/>
      <c r="AM3534" s="226"/>
    </row>
    <row r="3535" spans="1:39" x14ac:dyDescent="0.25">
      <c r="AA3535" s="237"/>
      <c r="AB3535" s="237"/>
      <c r="AC3535" s="237"/>
      <c r="AD3535" s="237"/>
      <c r="AE3535" s="237"/>
      <c r="AF3535" s="237"/>
      <c r="AG3535" s="237"/>
      <c r="AH3535" s="237"/>
      <c r="AJ3535" s="238"/>
    </row>
    <row r="3536" spans="1:39" x14ac:dyDescent="0.25">
      <c r="AA3536" s="237"/>
      <c r="AB3536" s="237"/>
      <c r="AC3536" s="237"/>
      <c r="AD3536" s="237"/>
      <c r="AE3536" s="237"/>
      <c r="AF3536" s="237"/>
      <c r="AG3536" s="237"/>
      <c r="AH3536" s="237"/>
      <c r="AJ3536" s="238"/>
    </row>
    <row r="3537" spans="1:39" ht="12.75" x14ac:dyDescent="0.2">
      <c r="AL3537" s="226"/>
      <c r="AM3537" s="226"/>
    </row>
    <row r="3538" spans="1:39" ht="12.75" x14ac:dyDescent="0.2">
      <c r="A3538" s="236"/>
      <c r="B3538" s="236"/>
      <c r="C3538" s="236"/>
      <c r="D3538" s="236"/>
      <c r="E3538" s="237"/>
      <c r="G3538" s="237"/>
      <c r="H3538" s="237"/>
      <c r="I3538" s="237"/>
      <c r="K3538" s="237"/>
      <c r="N3538" s="237"/>
      <c r="O3538" s="237"/>
      <c r="P3538" s="237"/>
      <c r="Q3538" s="237"/>
      <c r="AL3538" s="226"/>
      <c r="AM3538" s="226"/>
    </row>
    <row r="3539" spans="1:39" x14ac:dyDescent="0.25">
      <c r="AA3539" s="237"/>
      <c r="AB3539" s="237"/>
      <c r="AC3539" s="237"/>
      <c r="AD3539" s="237"/>
      <c r="AE3539" s="237"/>
      <c r="AF3539" s="237"/>
      <c r="AG3539" s="237"/>
      <c r="AH3539" s="237"/>
      <c r="AJ3539" s="238"/>
    </row>
    <row r="3540" spans="1:39" ht="12.75" x14ac:dyDescent="0.2">
      <c r="AL3540" s="226"/>
      <c r="AM3540" s="226"/>
    </row>
    <row r="3541" spans="1:39" ht="12.75" x14ac:dyDescent="0.2">
      <c r="A3541" s="236"/>
      <c r="B3541" s="236"/>
      <c r="C3541" s="236"/>
      <c r="D3541" s="236"/>
      <c r="E3541" s="237"/>
      <c r="G3541" s="237"/>
      <c r="H3541" s="237"/>
      <c r="I3541" s="237"/>
      <c r="K3541" s="237"/>
      <c r="N3541" s="237"/>
      <c r="O3541" s="237"/>
      <c r="P3541" s="237"/>
      <c r="Q3541" s="237"/>
      <c r="AL3541" s="226"/>
      <c r="AM3541" s="226"/>
    </row>
    <row r="3542" spans="1:39" x14ac:dyDescent="0.25">
      <c r="AA3542" s="237"/>
      <c r="AB3542" s="237"/>
      <c r="AC3542" s="237"/>
      <c r="AD3542" s="237"/>
      <c r="AE3542" s="237"/>
      <c r="AF3542" s="237"/>
      <c r="AG3542" s="237"/>
      <c r="AH3542" s="237"/>
      <c r="AJ3542" s="238"/>
    </row>
    <row r="3543" spans="1:39" x14ac:dyDescent="0.25">
      <c r="AA3543" s="237"/>
      <c r="AB3543" s="237"/>
      <c r="AC3543" s="237"/>
      <c r="AD3543" s="237"/>
      <c r="AE3543" s="237"/>
      <c r="AF3543" s="237"/>
      <c r="AG3543" s="237"/>
      <c r="AH3543" s="237"/>
      <c r="AJ3543" s="238"/>
    </row>
    <row r="3544" spans="1:39" x14ac:dyDescent="0.25">
      <c r="AA3544" s="237"/>
      <c r="AB3544" s="237"/>
      <c r="AC3544" s="237"/>
      <c r="AD3544" s="237"/>
      <c r="AE3544" s="237"/>
      <c r="AF3544" s="237"/>
      <c r="AG3544" s="237"/>
      <c r="AH3544" s="237"/>
      <c r="AJ3544" s="238"/>
    </row>
    <row r="3545" spans="1:39" x14ac:dyDescent="0.25">
      <c r="AA3545" s="237"/>
      <c r="AB3545" s="237"/>
      <c r="AC3545" s="237"/>
      <c r="AD3545" s="237"/>
      <c r="AE3545" s="237"/>
      <c r="AF3545" s="237"/>
      <c r="AG3545" s="237"/>
      <c r="AH3545" s="237"/>
      <c r="AJ3545" s="238"/>
    </row>
    <row r="3546" spans="1:39" x14ac:dyDescent="0.25">
      <c r="AA3546" s="237"/>
      <c r="AB3546" s="237"/>
      <c r="AC3546" s="237"/>
      <c r="AD3546" s="237"/>
      <c r="AE3546" s="237"/>
      <c r="AF3546" s="237"/>
      <c r="AG3546" s="237"/>
      <c r="AH3546" s="237"/>
      <c r="AJ3546" s="238"/>
    </row>
    <row r="3547" spans="1:39" x14ac:dyDescent="0.25">
      <c r="AA3547" s="237"/>
      <c r="AB3547" s="237"/>
      <c r="AC3547" s="237"/>
      <c r="AD3547" s="237"/>
      <c r="AE3547" s="237"/>
      <c r="AF3547" s="237"/>
      <c r="AG3547" s="237"/>
      <c r="AH3547" s="237"/>
      <c r="AJ3547" s="238"/>
    </row>
    <row r="3548" spans="1:39" ht="12.75" x14ac:dyDescent="0.2">
      <c r="AL3548" s="226"/>
      <c r="AM3548" s="226"/>
    </row>
    <row r="3549" spans="1:39" ht="12.75" x14ac:dyDescent="0.2">
      <c r="A3549" s="236"/>
      <c r="B3549" s="236"/>
      <c r="C3549" s="236"/>
      <c r="D3549" s="236"/>
      <c r="E3549" s="237"/>
      <c r="G3549" s="237"/>
      <c r="H3549" s="237"/>
      <c r="I3549" s="237"/>
      <c r="K3549" s="237"/>
      <c r="N3549" s="237"/>
      <c r="O3549" s="237"/>
      <c r="P3549" s="237"/>
      <c r="Q3549" s="237"/>
      <c r="AL3549" s="226"/>
      <c r="AM3549" s="226"/>
    </row>
    <row r="3550" spans="1:39" x14ac:dyDescent="0.25">
      <c r="AA3550" s="237"/>
      <c r="AB3550" s="237"/>
      <c r="AC3550" s="237"/>
      <c r="AD3550" s="237"/>
      <c r="AE3550" s="237"/>
      <c r="AF3550" s="237"/>
      <c r="AG3550" s="237"/>
      <c r="AH3550" s="237"/>
      <c r="AJ3550" s="238"/>
    </row>
    <row r="3551" spans="1:39" ht="12.75" x14ac:dyDescent="0.2">
      <c r="AL3551" s="226"/>
      <c r="AM3551" s="226"/>
    </row>
    <row r="3552" spans="1:39" ht="12.75" x14ac:dyDescent="0.2">
      <c r="A3552" s="236"/>
      <c r="B3552" s="236"/>
      <c r="C3552" s="236"/>
      <c r="D3552" s="236"/>
      <c r="E3552" s="237"/>
      <c r="G3552" s="237"/>
      <c r="H3552" s="237"/>
      <c r="I3552" s="237"/>
      <c r="K3552" s="237"/>
      <c r="N3552" s="237"/>
      <c r="O3552" s="237"/>
      <c r="P3552" s="237"/>
      <c r="Q3552" s="237"/>
      <c r="AL3552" s="226"/>
      <c r="AM3552" s="226"/>
    </row>
    <row r="3553" spans="1:39" x14ac:dyDescent="0.25">
      <c r="AA3553" s="237"/>
      <c r="AB3553" s="237"/>
      <c r="AC3553" s="237"/>
      <c r="AD3553" s="237"/>
      <c r="AE3553" s="237"/>
      <c r="AF3553" s="237"/>
      <c r="AG3553" s="237"/>
      <c r="AH3553" s="237"/>
      <c r="AJ3553" s="238"/>
    </row>
    <row r="3554" spans="1:39" ht="12.75" x14ac:dyDescent="0.2">
      <c r="AL3554" s="226"/>
      <c r="AM3554" s="226"/>
    </row>
    <row r="3555" spans="1:39" ht="12.75" x14ac:dyDescent="0.2">
      <c r="A3555" s="236"/>
      <c r="B3555" s="236"/>
      <c r="C3555" s="236"/>
      <c r="D3555" s="236"/>
      <c r="E3555" s="237"/>
      <c r="G3555" s="237"/>
      <c r="H3555" s="237"/>
      <c r="I3555" s="237"/>
      <c r="K3555" s="237"/>
      <c r="N3555" s="237"/>
      <c r="O3555" s="237"/>
      <c r="P3555" s="237"/>
      <c r="Q3555" s="237"/>
      <c r="AL3555" s="226"/>
      <c r="AM3555" s="226"/>
    </row>
    <row r="3556" spans="1:39" x14ac:dyDescent="0.25">
      <c r="AA3556" s="237"/>
      <c r="AB3556" s="237"/>
      <c r="AC3556" s="237"/>
      <c r="AD3556" s="237"/>
      <c r="AE3556" s="237"/>
      <c r="AF3556" s="237"/>
      <c r="AG3556" s="237"/>
      <c r="AH3556" s="237"/>
      <c r="AJ3556" s="238"/>
    </row>
    <row r="3557" spans="1:39" x14ac:dyDescent="0.25">
      <c r="AA3557" s="237"/>
      <c r="AB3557" s="237"/>
      <c r="AC3557" s="237"/>
      <c r="AD3557" s="237"/>
      <c r="AE3557" s="237"/>
      <c r="AF3557" s="237"/>
      <c r="AG3557" s="237"/>
      <c r="AH3557" s="237"/>
      <c r="AJ3557" s="238"/>
    </row>
    <row r="3558" spans="1:39" x14ac:dyDescent="0.25">
      <c r="AA3558" s="237"/>
      <c r="AB3558" s="237"/>
      <c r="AC3558" s="237"/>
      <c r="AD3558" s="237"/>
      <c r="AE3558" s="237"/>
      <c r="AF3558" s="237"/>
      <c r="AG3558" s="237"/>
      <c r="AH3558" s="237"/>
      <c r="AJ3558" s="238"/>
    </row>
    <row r="3559" spans="1:39" x14ac:dyDescent="0.25">
      <c r="AA3559" s="237"/>
      <c r="AB3559" s="237"/>
      <c r="AC3559" s="237"/>
      <c r="AD3559" s="237"/>
      <c r="AE3559" s="237"/>
      <c r="AF3559" s="237"/>
      <c r="AG3559" s="237"/>
      <c r="AH3559" s="237"/>
      <c r="AJ3559" s="238"/>
    </row>
    <row r="3560" spans="1:39" ht="12.75" x14ac:dyDescent="0.2">
      <c r="AL3560" s="226"/>
      <c r="AM3560" s="226"/>
    </row>
    <row r="3561" spans="1:39" ht="12.75" x14ac:dyDescent="0.2">
      <c r="A3561" s="236"/>
      <c r="B3561" s="236"/>
      <c r="C3561" s="236"/>
      <c r="D3561" s="236"/>
      <c r="E3561" s="237"/>
      <c r="G3561" s="237"/>
      <c r="H3561" s="237"/>
      <c r="I3561" s="237"/>
      <c r="K3561" s="237"/>
      <c r="N3561" s="237"/>
      <c r="O3561" s="237"/>
      <c r="P3561" s="237"/>
      <c r="Q3561" s="237"/>
      <c r="AL3561" s="226"/>
      <c r="AM3561" s="226"/>
    </row>
    <row r="3562" spans="1:39" x14ac:dyDescent="0.25">
      <c r="AA3562" s="237"/>
      <c r="AB3562" s="237"/>
      <c r="AC3562" s="237"/>
      <c r="AD3562" s="237"/>
      <c r="AE3562" s="237"/>
      <c r="AF3562" s="237"/>
      <c r="AG3562" s="237"/>
      <c r="AH3562" s="237"/>
      <c r="AJ3562" s="238"/>
    </row>
    <row r="3563" spans="1:39" x14ac:dyDescent="0.25">
      <c r="AA3563" s="237"/>
      <c r="AB3563" s="237"/>
      <c r="AC3563" s="237"/>
      <c r="AD3563" s="237"/>
      <c r="AE3563" s="237"/>
      <c r="AF3563" s="237"/>
      <c r="AG3563" s="237"/>
      <c r="AH3563" s="237"/>
      <c r="AJ3563" s="238"/>
    </row>
    <row r="3564" spans="1:39" x14ac:dyDescent="0.25">
      <c r="AA3564" s="237"/>
      <c r="AB3564" s="237"/>
      <c r="AC3564" s="237"/>
      <c r="AD3564" s="237"/>
      <c r="AE3564" s="237"/>
      <c r="AF3564" s="237"/>
      <c r="AG3564" s="237"/>
      <c r="AH3564" s="237"/>
      <c r="AJ3564" s="238"/>
    </row>
    <row r="3565" spans="1:39" x14ac:dyDescent="0.25">
      <c r="AA3565" s="237"/>
      <c r="AB3565" s="237"/>
      <c r="AC3565" s="237"/>
      <c r="AD3565" s="237"/>
      <c r="AE3565" s="237"/>
      <c r="AF3565" s="237"/>
      <c r="AG3565" s="237"/>
      <c r="AH3565" s="237"/>
      <c r="AJ3565" s="238"/>
    </row>
    <row r="3566" spans="1:39" x14ac:dyDescent="0.25">
      <c r="AA3566" s="237"/>
      <c r="AB3566" s="237"/>
      <c r="AC3566" s="237"/>
      <c r="AD3566" s="237"/>
      <c r="AE3566" s="237"/>
      <c r="AF3566" s="237"/>
      <c r="AG3566" s="237"/>
      <c r="AH3566" s="237"/>
      <c r="AJ3566" s="238"/>
    </row>
    <row r="3567" spans="1:39" ht="12.75" x14ac:dyDescent="0.2">
      <c r="AL3567" s="226"/>
      <c r="AM3567" s="226"/>
    </row>
    <row r="3568" spans="1:39" ht="12.75" x14ac:dyDescent="0.2">
      <c r="A3568" s="236"/>
      <c r="B3568" s="236"/>
      <c r="C3568" s="236"/>
      <c r="D3568" s="236"/>
      <c r="E3568" s="237"/>
      <c r="G3568" s="237"/>
      <c r="H3568" s="237"/>
      <c r="I3568" s="237"/>
      <c r="K3568" s="237"/>
      <c r="N3568" s="237"/>
      <c r="O3568" s="237"/>
      <c r="P3568" s="237"/>
      <c r="Q3568" s="237"/>
      <c r="AL3568" s="226"/>
      <c r="AM3568" s="226"/>
    </row>
    <row r="3569" spans="1:39" x14ac:dyDescent="0.25">
      <c r="AA3569" s="237"/>
      <c r="AB3569" s="237"/>
      <c r="AC3569" s="237"/>
      <c r="AD3569" s="237"/>
      <c r="AE3569" s="237"/>
      <c r="AF3569" s="237"/>
      <c r="AG3569" s="237"/>
      <c r="AH3569" s="237"/>
      <c r="AJ3569" s="238"/>
    </row>
    <row r="3570" spans="1:39" x14ac:dyDescent="0.25">
      <c r="AA3570" s="237"/>
      <c r="AB3570" s="237"/>
      <c r="AC3570" s="237"/>
      <c r="AD3570" s="237"/>
      <c r="AE3570" s="237"/>
      <c r="AF3570" s="237"/>
      <c r="AG3570" s="237"/>
      <c r="AH3570" s="237"/>
      <c r="AJ3570" s="238"/>
    </row>
    <row r="3571" spans="1:39" x14ac:dyDescent="0.25">
      <c r="AA3571" s="237"/>
      <c r="AB3571" s="237"/>
      <c r="AC3571" s="237"/>
      <c r="AD3571" s="237"/>
      <c r="AE3571" s="237"/>
      <c r="AF3571" s="237"/>
      <c r="AG3571" s="237"/>
      <c r="AH3571" s="237"/>
      <c r="AJ3571" s="238"/>
    </row>
    <row r="3572" spans="1:39" x14ac:dyDescent="0.25">
      <c r="AA3572" s="237"/>
      <c r="AB3572" s="237"/>
      <c r="AC3572" s="237"/>
      <c r="AD3572" s="237"/>
      <c r="AE3572" s="237"/>
      <c r="AF3572" s="237"/>
      <c r="AG3572" s="237"/>
      <c r="AH3572" s="237"/>
      <c r="AJ3572" s="238"/>
    </row>
    <row r="3573" spans="1:39" x14ac:dyDescent="0.25">
      <c r="AA3573" s="237"/>
      <c r="AB3573" s="237"/>
      <c r="AC3573" s="237"/>
      <c r="AD3573" s="237"/>
      <c r="AE3573" s="237"/>
      <c r="AF3573" s="237"/>
      <c r="AG3573" s="237"/>
      <c r="AH3573" s="237"/>
      <c r="AJ3573" s="238"/>
    </row>
    <row r="3574" spans="1:39" x14ac:dyDescent="0.25">
      <c r="AA3574" s="237"/>
      <c r="AB3574" s="237"/>
      <c r="AC3574" s="237"/>
      <c r="AD3574" s="237"/>
      <c r="AE3574" s="237"/>
      <c r="AF3574" s="237"/>
      <c r="AG3574" s="237"/>
      <c r="AH3574" s="237"/>
      <c r="AJ3574" s="238"/>
    </row>
    <row r="3575" spans="1:39" ht="12.75" x14ac:dyDescent="0.2">
      <c r="AL3575" s="226"/>
      <c r="AM3575" s="226"/>
    </row>
    <row r="3576" spans="1:39" ht="12.75" x14ac:dyDescent="0.2">
      <c r="A3576" s="236"/>
      <c r="B3576" s="236"/>
      <c r="C3576" s="236"/>
      <c r="D3576" s="236"/>
      <c r="E3576" s="237"/>
      <c r="G3576" s="237"/>
      <c r="H3576" s="237"/>
      <c r="I3576" s="237"/>
      <c r="K3576" s="237"/>
      <c r="N3576" s="237"/>
      <c r="O3576" s="237"/>
      <c r="P3576" s="237"/>
      <c r="Q3576" s="237"/>
      <c r="AL3576" s="226"/>
      <c r="AM3576" s="226"/>
    </row>
    <row r="3577" spans="1:39" x14ac:dyDescent="0.25">
      <c r="AA3577" s="237"/>
      <c r="AB3577" s="237"/>
      <c r="AC3577" s="237"/>
      <c r="AD3577" s="237"/>
      <c r="AE3577" s="237"/>
      <c r="AF3577" s="237"/>
      <c r="AG3577" s="237"/>
      <c r="AH3577" s="237"/>
      <c r="AJ3577" s="238"/>
    </row>
    <row r="3578" spans="1:39" x14ac:dyDescent="0.25">
      <c r="AA3578" s="237"/>
      <c r="AB3578" s="237"/>
      <c r="AC3578" s="237"/>
      <c r="AD3578" s="237"/>
      <c r="AE3578" s="237"/>
      <c r="AF3578" s="237"/>
      <c r="AG3578" s="237"/>
      <c r="AH3578" s="237"/>
      <c r="AJ3578" s="238"/>
    </row>
    <row r="3579" spans="1:39" x14ac:dyDescent="0.25">
      <c r="AA3579" s="237"/>
      <c r="AB3579" s="237"/>
      <c r="AC3579" s="237"/>
      <c r="AD3579" s="237"/>
      <c r="AE3579" s="237"/>
      <c r="AF3579" s="237"/>
      <c r="AG3579" s="237"/>
      <c r="AH3579" s="237"/>
      <c r="AJ3579" s="238"/>
    </row>
    <row r="3580" spans="1:39" ht="12.75" x14ac:dyDescent="0.2">
      <c r="AL3580" s="226"/>
      <c r="AM3580" s="226"/>
    </row>
    <row r="3581" spans="1:39" ht="12.75" x14ac:dyDescent="0.2">
      <c r="A3581" s="236"/>
      <c r="B3581" s="236"/>
      <c r="C3581" s="236"/>
      <c r="D3581" s="236"/>
      <c r="E3581" s="237"/>
      <c r="G3581" s="237"/>
      <c r="H3581" s="237"/>
      <c r="I3581" s="237"/>
      <c r="K3581" s="237"/>
      <c r="N3581" s="237"/>
      <c r="O3581" s="237"/>
      <c r="P3581" s="237"/>
      <c r="Q3581" s="237"/>
      <c r="AL3581" s="226"/>
      <c r="AM3581" s="226"/>
    </row>
    <row r="3582" spans="1:39" x14ac:dyDescent="0.25">
      <c r="AA3582" s="237"/>
      <c r="AB3582" s="237"/>
      <c r="AC3582" s="237"/>
      <c r="AD3582" s="237"/>
      <c r="AE3582" s="237"/>
      <c r="AF3582" s="237"/>
      <c r="AG3582" s="237"/>
      <c r="AH3582" s="237"/>
      <c r="AJ3582" s="238"/>
    </row>
    <row r="3583" spans="1:39" ht="12.75" x14ac:dyDescent="0.2">
      <c r="AL3583" s="226"/>
      <c r="AM3583" s="226"/>
    </row>
    <row r="3584" spans="1:39" ht="12.75" x14ac:dyDescent="0.2">
      <c r="A3584" s="236"/>
      <c r="B3584" s="236"/>
      <c r="C3584" s="236"/>
      <c r="D3584" s="236"/>
      <c r="E3584" s="237"/>
      <c r="G3584" s="237"/>
      <c r="H3584" s="237"/>
      <c r="I3584" s="237"/>
      <c r="K3584" s="237"/>
      <c r="N3584" s="237"/>
      <c r="O3584" s="237"/>
      <c r="P3584" s="237"/>
      <c r="Q3584" s="237"/>
      <c r="AL3584" s="226"/>
      <c r="AM3584" s="226"/>
    </row>
    <row r="3585" spans="1:39" x14ac:dyDescent="0.25">
      <c r="AA3585" s="237"/>
      <c r="AB3585" s="237"/>
      <c r="AC3585" s="237"/>
      <c r="AD3585" s="237"/>
      <c r="AE3585" s="237"/>
      <c r="AF3585" s="237"/>
      <c r="AG3585" s="237"/>
      <c r="AH3585" s="237"/>
      <c r="AJ3585" s="238"/>
    </row>
    <row r="3586" spans="1:39" ht="12.75" x14ac:dyDescent="0.2">
      <c r="AL3586" s="226"/>
      <c r="AM3586" s="226"/>
    </row>
    <row r="3587" spans="1:39" ht="12.75" x14ac:dyDescent="0.2">
      <c r="A3587" s="236"/>
      <c r="B3587" s="236"/>
      <c r="C3587" s="236"/>
      <c r="D3587" s="236"/>
      <c r="E3587" s="237"/>
      <c r="G3587" s="237"/>
      <c r="H3587" s="237"/>
      <c r="I3587" s="237"/>
      <c r="K3587" s="237"/>
      <c r="N3587" s="237"/>
      <c r="O3587" s="237"/>
      <c r="P3587" s="237"/>
      <c r="Q3587" s="237"/>
      <c r="AL3587" s="226"/>
      <c r="AM3587" s="226"/>
    </row>
    <row r="3588" spans="1:39" x14ac:dyDescent="0.25">
      <c r="AA3588" s="237"/>
      <c r="AB3588" s="237"/>
      <c r="AC3588" s="237"/>
      <c r="AD3588" s="237"/>
      <c r="AE3588" s="237"/>
      <c r="AF3588" s="237"/>
      <c r="AG3588" s="237"/>
      <c r="AH3588" s="237"/>
      <c r="AJ3588" s="238"/>
    </row>
    <row r="3589" spans="1:39" ht="12.75" x14ac:dyDescent="0.2">
      <c r="AL3589" s="226"/>
      <c r="AM3589" s="226"/>
    </row>
    <row r="3590" spans="1:39" ht="12.75" x14ac:dyDescent="0.2">
      <c r="A3590" s="236"/>
      <c r="B3590" s="236"/>
      <c r="C3590" s="236"/>
      <c r="D3590" s="236"/>
      <c r="E3590" s="237"/>
      <c r="G3590" s="237"/>
      <c r="H3590" s="237"/>
      <c r="I3590" s="237"/>
      <c r="K3590" s="237"/>
      <c r="N3590" s="237"/>
      <c r="O3590" s="237"/>
      <c r="P3590" s="237"/>
      <c r="Q3590" s="237"/>
      <c r="AL3590" s="226"/>
      <c r="AM3590" s="226"/>
    </row>
    <row r="3591" spans="1:39" x14ac:dyDescent="0.25">
      <c r="AA3591" s="237"/>
      <c r="AB3591" s="237"/>
      <c r="AC3591" s="237"/>
      <c r="AD3591" s="237"/>
      <c r="AE3591" s="237"/>
      <c r="AF3591" s="237"/>
      <c r="AG3591" s="237"/>
      <c r="AH3591" s="237"/>
      <c r="AJ3591" s="238"/>
    </row>
    <row r="3592" spans="1:39" x14ac:dyDescent="0.25">
      <c r="AA3592" s="237"/>
      <c r="AB3592" s="237"/>
      <c r="AC3592" s="237"/>
      <c r="AD3592" s="237"/>
      <c r="AE3592" s="237"/>
      <c r="AF3592" s="237"/>
      <c r="AG3592" s="237"/>
      <c r="AH3592" s="237"/>
      <c r="AJ3592" s="238"/>
    </row>
    <row r="3593" spans="1:39" x14ac:dyDescent="0.25">
      <c r="AA3593" s="237"/>
      <c r="AB3593" s="237"/>
      <c r="AC3593" s="237"/>
      <c r="AD3593" s="237"/>
      <c r="AE3593" s="237"/>
      <c r="AF3593" s="237"/>
      <c r="AG3593" s="237"/>
      <c r="AH3593" s="237"/>
      <c r="AJ3593" s="238"/>
    </row>
    <row r="3594" spans="1:39" x14ac:dyDescent="0.25">
      <c r="AA3594" s="237"/>
      <c r="AB3594" s="237"/>
      <c r="AC3594" s="237"/>
      <c r="AD3594" s="237"/>
      <c r="AE3594" s="237"/>
      <c r="AF3594" s="237"/>
      <c r="AG3594" s="237"/>
      <c r="AH3594" s="237"/>
      <c r="AJ3594" s="238"/>
    </row>
    <row r="3595" spans="1:39" x14ac:dyDescent="0.25">
      <c r="AA3595" s="237"/>
      <c r="AB3595" s="237"/>
      <c r="AC3595" s="237"/>
      <c r="AD3595" s="237"/>
      <c r="AE3595" s="237"/>
      <c r="AF3595" s="237"/>
      <c r="AG3595" s="237"/>
      <c r="AH3595" s="237"/>
      <c r="AJ3595" s="238"/>
    </row>
    <row r="3596" spans="1:39" ht="12.75" x14ac:dyDescent="0.2">
      <c r="AL3596" s="226"/>
      <c r="AM3596" s="226"/>
    </row>
    <row r="3597" spans="1:39" ht="12.75" x14ac:dyDescent="0.2">
      <c r="A3597" s="236"/>
      <c r="B3597" s="236"/>
      <c r="C3597" s="236"/>
      <c r="D3597" s="236"/>
      <c r="E3597" s="237"/>
      <c r="G3597" s="237"/>
      <c r="H3597" s="237"/>
      <c r="I3597" s="237"/>
      <c r="K3597" s="237"/>
      <c r="N3597" s="237"/>
      <c r="O3597" s="237"/>
      <c r="P3597" s="237"/>
      <c r="Q3597" s="237"/>
      <c r="AL3597" s="226"/>
      <c r="AM3597" s="226"/>
    </row>
    <row r="3598" spans="1:39" x14ac:dyDescent="0.25">
      <c r="AA3598" s="237"/>
      <c r="AB3598" s="237"/>
      <c r="AC3598" s="237"/>
      <c r="AD3598" s="237"/>
      <c r="AE3598" s="237"/>
      <c r="AF3598" s="237"/>
      <c r="AG3598" s="237"/>
      <c r="AH3598" s="237"/>
      <c r="AJ3598" s="238"/>
    </row>
    <row r="3599" spans="1:39" x14ac:dyDescent="0.25">
      <c r="AA3599" s="237"/>
      <c r="AB3599" s="237"/>
      <c r="AC3599" s="237"/>
      <c r="AD3599" s="237"/>
      <c r="AE3599" s="237"/>
      <c r="AF3599" s="237"/>
      <c r="AG3599" s="237"/>
      <c r="AH3599" s="237"/>
      <c r="AJ3599" s="238"/>
    </row>
    <row r="3600" spans="1:39" x14ac:dyDescent="0.25">
      <c r="AA3600" s="237"/>
      <c r="AB3600" s="237"/>
      <c r="AC3600" s="237"/>
      <c r="AD3600" s="237"/>
      <c r="AE3600" s="237"/>
      <c r="AF3600" s="237"/>
      <c r="AG3600" s="237"/>
      <c r="AH3600" s="237"/>
      <c r="AJ3600" s="238"/>
    </row>
    <row r="3601" spans="1:39" ht="12.75" x14ac:dyDescent="0.2">
      <c r="AL3601" s="226"/>
      <c r="AM3601" s="226"/>
    </row>
    <row r="3602" spans="1:39" ht="12.75" x14ac:dyDescent="0.2">
      <c r="A3602" s="236"/>
      <c r="B3602" s="236"/>
      <c r="C3602" s="236"/>
      <c r="D3602" s="236"/>
      <c r="E3602" s="237"/>
      <c r="G3602" s="237"/>
      <c r="H3602" s="237"/>
      <c r="I3602" s="237"/>
      <c r="K3602" s="237"/>
      <c r="N3602" s="237"/>
      <c r="O3602" s="237"/>
      <c r="P3602" s="237"/>
      <c r="Q3602" s="237"/>
      <c r="AL3602" s="226"/>
      <c r="AM3602" s="226"/>
    </row>
    <row r="3603" spans="1:39" x14ac:dyDescent="0.25">
      <c r="AA3603" s="237"/>
      <c r="AB3603" s="237"/>
      <c r="AC3603" s="237"/>
      <c r="AD3603" s="237"/>
      <c r="AE3603" s="237"/>
      <c r="AF3603" s="237"/>
      <c r="AG3603" s="237"/>
      <c r="AH3603" s="237"/>
      <c r="AJ3603" s="238"/>
    </row>
    <row r="3604" spans="1:39" ht="12.75" x14ac:dyDescent="0.2">
      <c r="AL3604" s="226"/>
      <c r="AM3604" s="226"/>
    </row>
    <row r="3605" spans="1:39" ht="12.75" x14ac:dyDescent="0.2">
      <c r="A3605" s="236"/>
      <c r="B3605" s="236"/>
      <c r="C3605" s="236"/>
      <c r="D3605" s="236"/>
      <c r="E3605" s="237"/>
      <c r="G3605" s="237"/>
      <c r="H3605" s="237"/>
      <c r="I3605" s="237"/>
      <c r="K3605" s="237"/>
      <c r="N3605" s="237"/>
      <c r="O3605" s="237"/>
      <c r="P3605" s="237"/>
      <c r="Q3605" s="237"/>
      <c r="AL3605" s="226"/>
      <c r="AM3605" s="226"/>
    </row>
    <row r="3606" spans="1:39" x14ac:dyDescent="0.25">
      <c r="AA3606" s="237"/>
      <c r="AB3606" s="237"/>
      <c r="AC3606" s="237"/>
      <c r="AD3606" s="237"/>
      <c r="AE3606" s="237"/>
      <c r="AF3606" s="237"/>
      <c r="AG3606" s="237"/>
      <c r="AH3606" s="237"/>
      <c r="AJ3606" s="238"/>
    </row>
    <row r="3607" spans="1:39" x14ac:dyDescent="0.25">
      <c r="AA3607" s="237"/>
      <c r="AB3607" s="237"/>
      <c r="AC3607" s="237"/>
      <c r="AD3607" s="237"/>
      <c r="AE3607" s="237"/>
      <c r="AF3607" s="237"/>
      <c r="AG3607" s="237"/>
      <c r="AH3607" s="237"/>
      <c r="AJ3607" s="238"/>
    </row>
    <row r="3608" spans="1:39" ht="12.75" x14ac:dyDescent="0.2">
      <c r="AL3608" s="226"/>
      <c r="AM3608" s="226"/>
    </row>
    <row r="3609" spans="1:39" ht="12.75" x14ac:dyDescent="0.2">
      <c r="A3609" s="236"/>
      <c r="B3609" s="236"/>
      <c r="C3609" s="236"/>
      <c r="D3609" s="236"/>
      <c r="E3609" s="237"/>
      <c r="G3609" s="237"/>
      <c r="H3609" s="237"/>
      <c r="I3609" s="237"/>
      <c r="K3609" s="237"/>
      <c r="N3609" s="237"/>
      <c r="O3609" s="237"/>
      <c r="P3609" s="237"/>
      <c r="Q3609" s="237"/>
      <c r="AL3609" s="226"/>
      <c r="AM3609" s="226"/>
    </row>
    <row r="3610" spans="1:39" x14ac:dyDescent="0.25">
      <c r="AA3610" s="237"/>
      <c r="AB3610" s="237"/>
      <c r="AC3610" s="237"/>
      <c r="AD3610" s="237"/>
      <c r="AE3610" s="237"/>
      <c r="AF3610" s="237"/>
      <c r="AG3610" s="237"/>
      <c r="AH3610" s="237"/>
      <c r="AJ3610" s="238"/>
    </row>
    <row r="3611" spans="1:39" x14ac:dyDescent="0.25">
      <c r="AA3611" s="237"/>
      <c r="AB3611" s="237"/>
      <c r="AC3611" s="237"/>
      <c r="AD3611" s="237"/>
      <c r="AE3611" s="237"/>
      <c r="AF3611" s="237"/>
      <c r="AG3611" s="237"/>
      <c r="AH3611" s="237"/>
      <c r="AJ3611" s="238"/>
    </row>
    <row r="3612" spans="1:39" x14ac:dyDescent="0.25">
      <c r="AA3612" s="237"/>
      <c r="AB3612" s="237"/>
      <c r="AC3612" s="237"/>
      <c r="AD3612" s="237"/>
      <c r="AE3612" s="237"/>
      <c r="AF3612" s="237"/>
      <c r="AG3612" s="237"/>
      <c r="AH3612" s="237"/>
      <c r="AJ3612" s="238"/>
    </row>
    <row r="3613" spans="1:39" x14ac:dyDescent="0.25">
      <c r="AA3613" s="237"/>
      <c r="AB3613" s="237"/>
      <c r="AC3613" s="237"/>
      <c r="AD3613" s="237"/>
      <c r="AE3613" s="237"/>
      <c r="AF3613" s="237"/>
      <c r="AG3613" s="237"/>
      <c r="AH3613" s="237"/>
      <c r="AJ3613" s="238"/>
    </row>
    <row r="3614" spans="1:39" ht="12.75" x14ac:dyDescent="0.2">
      <c r="AL3614" s="226"/>
      <c r="AM3614" s="226"/>
    </row>
    <row r="3615" spans="1:39" ht="12.75" x14ac:dyDescent="0.2">
      <c r="A3615" s="236"/>
      <c r="B3615" s="236"/>
      <c r="C3615" s="236"/>
      <c r="D3615" s="236"/>
      <c r="E3615" s="237"/>
      <c r="G3615" s="237"/>
      <c r="H3615" s="237"/>
      <c r="I3615" s="237"/>
      <c r="K3615" s="237"/>
      <c r="N3615" s="237"/>
      <c r="O3615" s="237"/>
      <c r="P3615" s="237"/>
      <c r="Q3615" s="237"/>
      <c r="AL3615" s="226"/>
      <c r="AM3615" s="226"/>
    </row>
    <row r="3616" spans="1:39" x14ac:dyDescent="0.25">
      <c r="AA3616" s="237"/>
      <c r="AB3616" s="237"/>
      <c r="AC3616" s="237"/>
      <c r="AD3616" s="237"/>
      <c r="AE3616" s="237"/>
      <c r="AF3616" s="237"/>
      <c r="AG3616" s="237"/>
      <c r="AH3616" s="237"/>
      <c r="AJ3616" s="238"/>
    </row>
    <row r="3617" spans="1:39" x14ac:dyDescent="0.25">
      <c r="AA3617" s="237"/>
      <c r="AB3617" s="237"/>
      <c r="AC3617" s="237"/>
      <c r="AD3617" s="237"/>
      <c r="AE3617" s="237"/>
      <c r="AF3617" s="237"/>
      <c r="AG3617" s="237"/>
      <c r="AH3617" s="237"/>
      <c r="AJ3617" s="238"/>
    </row>
    <row r="3618" spans="1:39" x14ac:dyDescent="0.25">
      <c r="AA3618" s="237"/>
      <c r="AB3618" s="237"/>
      <c r="AC3618" s="237"/>
      <c r="AD3618" s="237"/>
      <c r="AE3618" s="237"/>
      <c r="AF3618" s="237"/>
      <c r="AG3618" s="237"/>
      <c r="AH3618" s="237"/>
      <c r="AJ3618" s="238"/>
    </row>
    <row r="3619" spans="1:39" x14ac:dyDescent="0.25">
      <c r="AA3619" s="237"/>
      <c r="AB3619" s="237"/>
      <c r="AC3619" s="237"/>
      <c r="AD3619" s="237"/>
      <c r="AE3619" s="237"/>
      <c r="AF3619" s="237"/>
      <c r="AG3619" s="237"/>
      <c r="AH3619" s="237"/>
      <c r="AJ3619" s="238"/>
    </row>
    <row r="3620" spans="1:39" ht="12.75" x14ac:dyDescent="0.2">
      <c r="AL3620" s="226"/>
      <c r="AM3620" s="226"/>
    </row>
    <row r="3621" spans="1:39" ht="12.75" x14ac:dyDescent="0.2">
      <c r="A3621" s="236"/>
      <c r="B3621" s="236"/>
      <c r="C3621" s="236"/>
      <c r="D3621" s="236"/>
      <c r="E3621" s="237"/>
      <c r="G3621" s="237"/>
      <c r="H3621" s="237"/>
      <c r="I3621" s="237"/>
      <c r="K3621" s="237"/>
      <c r="N3621" s="237"/>
      <c r="O3621" s="237"/>
      <c r="P3621" s="237"/>
      <c r="Q3621" s="237"/>
      <c r="AL3621" s="226"/>
      <c r="AM3621" s="226"/>
    </row>
    <row r="3622" spans="1:39" x14ac:dyDescent="0.25">
      <c r="AA3622" s="237"/>
      <c r="AB3622" s="237"/>
      <c r="AC3622" s="237"/>
      <c r="AD3622" s="237"/>
      <c r="AE3622" s="237"/>
      <c r="AF3622" s="237"/>
      <c r="AG3622" s="237"/>
      <c r="AH3622" s="237"/>
      <c r="AJ3622" s="238"/>
    </row>
    <row r="3623" spans="1:39" ht="12.75" x14ac:dyDescent="0.2">
      <c r="AL3623" s="226"/>
      <c r="AM3623" s="226"/>
    </row>
    <row r="3624" spans="1:39" ht="12.75" x14ac:dyDescent="0.2">
      <c r="A3624" s="236"/>
      <c r="B3624" s="236"/>
      <c r="C3624" s="236"/>
      <c r="D3624" s="236"/>
      <c r="E3624" s="237"/>
      <c r="G3624" s="237"/>
      <c r="H3624" s="237"/>
      <c r="I3624" s="237"/>
      <c r="K3624" s="237"/>
      <c r="N3624" s="237"/>
      <c r="O3624" s="237"/>
      <c r="P3624" s="237"/>
      <c r="Q3624" s="237"/>
      <c r="AL3624" s="226"/>
      <c r="AM3624" s="226"/>
    </row>
    <row r="3625" spans="1:39" x14ac:dyDescent="0.25">
      <c r="AA3625" s="237"/>
      <c r="AB3625" s="237"/>
      <c r="AC3625" s="237"/>
      <c r="AD3625" s="237"/>
      <c r="AE3625" s="237"/>
      <c r="AF3625" s="237"/>
      <c r="AG3625" s="237"/>
      <c r="AH3625" s="237"/>
      <c r="AJ3625" s="238"/>
    </row>
    <row r="3626" spans="1:39" x14ac:dyDescent="0.25">
      <c r="AA3626" s="237"/>
      <c r="AB3626" s="237"/>
      <c r="AC3626" s="237"/>
      <c r="AD3626" s="237"/>
      <c r="AE3626" s="237"/>
      <c r="AF3626" s="237"/>
      <c r="AG3626" s="237"/>
      <c r="AH3626" s="237"/>
      <c r="AJ3626" s="238"/>
    </row>
    <row r="3627" spans="1:39" x14ac:dyDescent="0.25">
      <c r="AA3627" s="237"/>
      <c r="AB3627" s="237"/>
      <c r="AC3627" s="237"/>
      <c r="AD3627" s="237"/>
      <c r="AE3627" s="237"/>
      <c r="AF3627" s="237"/>
      <c r="AG3627" s="237"/>
      <c r="AH3627" s="237"/>
      <c r="AJ3627" s="238"/>
    </row>
    <row r="3628" spans="1:39" x14ac:dyDescent="0.25">
      <c r="AA3628" s="237"/>
      <c r="AB3628" s="237"/>
      <c r="AC3628" s="237"/>
      <c r="AD3628" s="237"/>
      <c r="AE3628" s="237"/>
      <c r="AF3628" s="237"/>
      <c r="AG3628" s="237"/>
      <c r="AH3628" s="237"/>
      <c r="AJ3628" s="238"/>
    </row>
    <row r="3629" spans="1:39" x14ac:dyDescent="0.25">
      <c r="AA3629" s="237"/>
      <c r="AB3629" s="237"/>
      <c r="AC3629" s="237"/>
      <c r="AD3629" s="237"/>
      <c r="AE3629" s="237"/>
      <c r="AF3629" s="237"/>
      <c r="AG3629" s="237"/>
      <c r="AH3629" s="237"/>
      <c r="AJ3629" s="238"/>
    </row>
    <row r="3630" spans="1:39" ht="12.75" x14ac:dyDescent="0.2">
      <c r="AL3630" s="226"/>
      <c r="AM3630" s="226"/>
    </row>
    <row r="3631" spans="1:39" ht="12.75" x14ac:dyDescent="0.2">
      <c r="A3631" s="236"/>
      <c r="B3631" s="236"/>
      <c r="C3631" s="236"/>
      <c r="D3631" s="236"/>
      <c r="E3631" s="237"/>
      <c r="G3631" s="237"/>
      <c r="H3631" s="237"/>
      <c r="I3631" s="237"/>
      <c r="K3631" s="237"/>
      <c r="N3631" s="237"/>
      <c r="O3631" s="237"/>
      <c r="P3631" s="237"/>
      <c r="Q3631" s="237"/>
      <c r="AL3631" s="226"/>
      <c r="AM3631" s="226"/>
    </row>
    <row r="3632" spans="1:39" x14ac:dyDescent="0.25">
      <c r="AA3632" s="237"/>
      <c r="AB3632" s="237"/>
      <c r="AC3632" s="237"/>
      <c r="AD3632" s="237"/>
      <c r="AE3632" s="237"/>
      <c r="AF3632" s="237"/>
      <c r="AG3632" s="237"/>
      <c r="AH3632" s="237"/>
      <c r="AJ3632" s="238"/>
    </row>
    <row r="3633" spans="1:39" ht="12.75" x14ac:dyDescent="0.2">
      <c r="AL3633" s="226"/>
      <c r="AM3633" s="226"/>
    </row>
    <row r="3634" spans="1:39" ht="12.75" x14ac:dyDescent="0.2">
      <c r="A3634" s="236"/>
      <c r="B3634" s="236"/>
      <c r="C3634" s="236"/>
      <c r="D3634" s="236"/>
      <c r="E3634" s="237"/>
      <c r="G3634" s="237"/>
      <c r="H3634" s="237"/>
      <c r="I3634" s="237"/>
      <c r="K3634" s="237"/>
      <c r="N3634" s="237"/>
      <c r="O3634" s="237"/>
      <c r="P3634" s="237"/>
      <c r="Q3634" s="237"/>
      <c r="AL3634" s="226"/>
      <c r="AM3634" s="226"/>
    </row>
    <row r="3635" spans="1:39" x14ac:dyDescent="0.25">
      <c r="AA3635" s="237"/>
      <c r="AB3635" s="237"/>
      <c r="AC3635" s="237"/>
      <c r="AD3635" s="237"/>
      <c r="AE3635" s="237"/>
      <c r="AF3635" s="237"/>
      <c r="AG3635" s="237"/>
      <c r="AH3635" s="237"/>
      <c r="AJ3635" s="238"/>
    </row>
    <row r="3636" spans="1:39" ht="12.75" x14ac:dyDescent="0.2">
      <c r="AL3636" s="226"/>
      <c r="AM3636" s="226"/>
    </row>
    <row r="3637" spans="1:39" ht="12.75" x14ac:dyDescent="0.2">
      <c r="A3637" s="236"/>
      <c r="B3637" s="236"/>
      <c r="C3637" s="236"/>
      <c r="D3637" s="236"/>
      <c r="E3637" s="237"/>
      <c r="G3637" s="237"/>
      <c r="H3637" s="237"/>
      <c r="I3637" s="237"/>
      <c r="K3637" s="237"/>
      <c r="N3637" s="237"/>
      <c r="O3637" s="237"/>
      <c r="P3637" s="237"/>
      <c r="Q3637" s="237"/>
      <c r="AL3637" s="226"/>
      <c r="AM3637" s="226"/>
    </row>
    <row r="3638" spans="1:39" x14ac:dyDescent="0.25">
      <c r="AA3638" s="237"/>
      <c r="AB3638" s="237"/>
      <c r="AC3638" s="237"/>
      <c r="AD3638" s="237"/>
      <c r="AE3638" s="237"/>
      <c r="AF3638" s="237"/>
      <c r="AG3638" s="237"/>
      <c r="AH3638" s="237"/>
      <c r="AJ3638" s="238"/>
    </row>
    <row r="3639" spans="1:39" x14ac:dyDescent="0.25">
      <c r="AA3639" s="237"/>
      <c r="AB3639" s="237"/>
      <c r="AC3639" s="237"/>
      <c r="AD3639" s="237"/>
      <c r="AE3639" s="237"/>
      <c r="AF3639" s="237"/>
      <c r="AG3639" s="237"/>
      <c r="AH3639" s="237"/>
      <c r="AJ3639" s="238"/>
    </row>
    <row r="3640" spans="1:39" ht="12.75" x14ac:dyDescent="0.2">
      <c r="AL3640" s="226"/>
      <c r="AM3640" s="226"/>
    </row>
    <row r="3641" spans="1:39" ht="12.75" x14ac:dyDescent="0.2">
      <c r="A3641" s="236"/>
      <c r="B3641" s="236"/>
      <c r="C3641" s="236"/>
      <c r="D3641" s="236"/>
      <c r="E3641" s="237"/>
      <c r="G3641" s="237"/>
      <c r="H3641" s="237"/>
      <c r="I3641" s="237"/>
      <c r="K3641" s="237"/>
      <c r="N3641" s="237"/>
      <c r="O3641" s="237"/>
      <c r="P3641" s="237"/>
      <c r="Q3641" s="237"/>
      <c r="AL3641" s="226"/>
      <c r="AM3641" s="226"/>
    </row>
    <row r="3642" spans="1:39" x14ac:dyDescent="0.25">
      <c r="AA3642" s="237"/>
      <c r="AB3642" s="237"/>
      <c r="AC3642" s="237"/>
      <c r="AD3642" s="237"/>
      <c r="AE3642" s="237"/>
      <c r="AF3642" s="237"/>
      <c r="AG3642" s="237"/>
      <c r="AH3642" s="237"/>
      <c r="AJ3642" s="238"/>
    </row>
    <row r="3643" spans="1:39" x14ac:dyDescent="0.25">
      <c r="AA3643" s="237"/>
      <c r="AB3643" s="237"/>
      <c r="AC3643" s="237"/>
      <c r="AD3643" s="237"/>
      <c r="AE3643" s="237"/>
      <c r="AF3643" s="237"/>
      <c r="AG3643" s="237"/>
      <c r="AH3643" s="237"/>
      <c r="AJ3643" s="238"/>
    </row>
    <row r="3644" spans="1:39" x14ac:dyDescent="0.25">
      <c r="AA3644" s="237"/>
      <c r="AB3644" s="237"/>
      <c r="AC3644" s="237"/>
      <c r="AD3644" s="237"/>
      <c r="AE3644" s="237"/>
      <c r="AF3644" s="237"/>
      <c r="AG3644" s="237"/>
      <c r="AH3644" s="237"/>
      <c r="AJ3644" s="238"/>
    </row>
    <row r="3645" spans="1:39" x14ac:dyDescent="0.25">
      <c r="AA3645" s="237"/>
      <c r="AB3645" s="237"/>
      <c r="AC3645" s="237"/>
      <c r="AD3645" s="237"/>
      <c r="AE3645" s="237"/>
      <c r="AF3645" s="237"/>
      <c r="AG3645" s="237"/>
      <c r="AH3645" s="237"/>
      <c r="AJ3645" s="238"/>
    </row>
    <row r="3646" spans="1:39" x14ac:dyDescent="0.25">
      <c r="AA3646" s="237"/>
      <c r="AB3646" s="237"/>
      <c r="AC3646" s="237"/>
      <c r="AD3646" s="237"/>
      <c r="AE3646" s="237"/>
      <c r="AF3646" s="237"/>
      <c r="AG3646" s="237"/>
      <c r="AH3646" s="237"/>
      <c r="AJ3646" s="238"/>
    </row>
    <row r="3647" spans="1:39" x14ac:dyDescent="0.25">
      <c r="AA3647" s="237"/>
      <c r="AB3647" s="237"/>
      <c r="AC3647" s="237"/>
      <c r="AD3647" s="237"/>
      <c r="AE3647" s="237"/>
      <c r="AF3647" s="237"/>
      <c r="AG3647" s="237"/>
      <c r="AH3647" s="237"/>
      <c r="AJ3647" s="238"/>
    </row>
    <row r="3648" spans="1:39" x14ac:dyDescent="0.25">
      <c r="AA3648" s="237"/>
      <c r="AB3648" s="237"/>
      <c r="AC3648" s="237"/>
      <c r="AD3648" s="237"/>
      <c r="AE3648" s="237"/>
      <c r="AF3648" s="237"/>
      <c r="AG3648" s="237"/>
      <c r="AH3648" s="237"/>
      <c r="AJ3648" s="238"/>
    </row>
    <row r="3649" spans="1:39" ht="12.75" x14ac:dyDescent="0.2">
      <c r="AL3649" s="226"/>
      <c r="AM3649" s="226"/>
    </row>
    <row r="3650" spans="1:39" ht="12.75" x14ac:dyDescent="0.2">
      <c r="A3650" s="236"/>
      <c r="B3650" s="236"/>
      <c r="C3650" s="236"/>
      <c r="D3650" s="236"/>
      <c r="E3650" s="237"/>
      <c r="G3650" s="237"/>
      <c r="H3650" s="237"/>
      <c r="I3650" s="237"/>
      <c r="K3650" s="237"/>
      <c r="N3650" s="237"/>
      <c r="O3650" s="237"/>
      <c r="P3650" s="237"/>
      <c r="Q3650" s="237"/>
      <c r="AL3650" s="226"/>
      <c r="AM3650" s="226"/>
    </row>
    <row r="3651" spans="1:39" x14ac:dyDescent="0.25">
      <c r="AA3651" s="237"/>
      <c r="AB3651" s="237"/>
      <c r="AC3651" s="237"/>
      <c r="AD3651" s="237"/>
      <c r="AE3651" s="237"/>
      <c r="AF3651" s="237"/>
      <c r="AG3651" s="237"/>
      <c r="AH3651" s="237"/>
      <c r="AJ3651" s="238"/>
    </row>
    <row r="3652" spans="1:39" x14ac:dyDescent="0.25">
      <c r="AA3652" s="237"/>
      <c r="AB3652" s="237"/>
      <c r="AC3652" s="237"/>
      <c r="AD3652" s="237"/>
      <c r="AE3652" s="237"/>
      <c r="AF3652" s="237"/>
      <c r="AG3652" s="237"/>
      <c r="AH3652" s="237"/>
      <c r="AJ3652" s="238"/>
    </row>
    <row r="3653" spans="1:39" x14ac:dyDescent="0.25">
      <c r="AA3653" s="237"/>
      <c r="AB3653" s="237"/>
      <c r="AC3653" s="237"/>
      <c r="AD3653" s="237"/>
      <c r="AE3653" s="237"/>
      <c r="AF3653" s="237"/>
      <c r="AG3653" s="237"/>
      <c r="AH3653" s="237"/>
      <c r="AJ3653" s="238"/>
    </row>
    <row r="3654" spans="1:39" ht="12.75" x14ac:dyDescent="0.2">
      <c r="AL3654" s="226"/>
      <c r="AM3654" s="226"/>
    </row>
    <row r="3655" spans="1:39" ht="12.75" x14ac:dyDescent="0.2">
      <c r="A3655" s="236"/>
      <c r="B3655" s="236"/>
      <c r="C3655" s="236"/>
      <c r="D3655" s="236"/>
      <c r="E3655" s="237"/>
      <c r="G3655" s="237"/>
      <c r="H3655" s="237"/>
      <c r="I3655" s="237"/>
      <c r="K3655" s="237"/>
      <c r="N3655" s="237"/>
      <c r="O3655" s="237"/>
      <c r="P3655" s="237"/>
      <c r="Q3655" s="237"/>
      <c r="AL3655" s="226"/>
      <c r="AM3655" s="226"/>
    </row>
    <row r="3656" spans="1:39" x14ac:dyDescent="0.25">
      <c r="AA3656" s="237"/>
      <c r="AB3656" s="237"/>
      <c r="AC3656" s="237"/>
      <c r="AD3656" s="237"/>
      <c r="AE3656" s="237"/>
      <c r="AF3656" s="237"/>
      <c r="AG3656" s="237"/>
      <c r="AH3656" s="237"/>
      <c r="AJ3656" s="238"/>
    </row>
    <row r="3657" spans="1:39" ht="12.75" x14ac:dyDescent="0.2">
      <c r="AL3657" s="226"/>
      <c r="AM3657" s="226"/>
    </row>
    <row r="3658" spans="1:39" ht="12.75" x14ac:dyDescent="0.2">
      <c r="A3658" s="236"/>
      <c r="B3658" s="236"/>
      <c r="C3658" s="236"/>
      <c r="D3658" s="236"/>
      <c r="E3658" s="237"/>
      <c r="G3658" s="237"/>
      <c r="H3658" s="237"/>
      <c r="I3658" s="237"/>
      <c r="K3658" s="237"/>
      <c r="N3658" s="237"/>
      <c r="O3658" s="237"/>
      <c r="P3658" s="237"/>
      <c r="Q3658" s="237"/>
      <c r="AL3658" s="226"/>
      <c r="AM3658" s="226"/>
    </row>
    <row r="3659" spans="1:39" x14ac:dyDescent="0.25">
      <c r="AA3659" s="237"/>
      <c r="AB3659" s="237"/>
      <c r="AC3659" s="237"/>
      <c r="AD3659" s="237"/>
      <c r="AE3659" s="237"/>
      <c r="AF3659" s="237"/>
      <c r="AG3659" s="237"/>
      <c r="AH3659" s="237"/>
      <c r="AJ3659" s="238"/>
    </row>
    <row r="3660" spans="1:39" x14ac:dyDescent="0.25">
      <c r="AA3660" s="237"/>
      <c r="AB3660" s="237"/>
      <c r="AC3660" s="237"/>
      <c r="AD3660" s="237"/>
      <c r="AE3660" s="237"/>
      <c r="AF3660" s="237"/>
      <c r="AG3660" s="237"/>
      <c r="AH3660" s="237"/>
      <c r="AJ3660" s="238"/>
    </row>
    <row r="3661" spans="1:39" x14ac:dyDescent="0.25">
      <c r="AA3661" s="237"/>
      <c r="AB3661" s="237"/>
      <c r="AC3661" s="237"/>
      <c r="AD3661" s="237"/>
      <c r="AE3661" s="237"/>
      <c r="AF3661" s="237"/>
      <c r="AG3661" s="237"/>
      <c r="AH3661" s="237"/>
      <c r="AJ3661" s="238"/>
    </row>
    <row r="3662" spans="1:39" x14ac:dyDescent="0.25">
      <c r="AA3662" s="237"/>
      <c r="AB3662" s="237"/>
      <c r="AC3662" s="237"/>
      <c r="AD3662" s="237"/>
      <c r="AE3662" s="237"/>
      <c r="AF3662" s="237"/>
      <c r="AG3662" s="237"/>
      <c r="AH3662" s="237"/>
      <c r="AJ3662" s="238"/>
    </row>
    <row r="3663" spans="1:39" x14ac:dyDescent="0.25">
      <c r="AA3663" s="237"/>
      <c r="AB3663" s="237"/>
      <c r="AC3663" s="237"/>
      <c r="AD3663" s="237"/>
      <c r="AE3663" s="237"/>
      <c r="AF3663" s="237"/>
      <c r="AG3663" s="237"/>
      <c r="AH3663" s="237"/>
      <c r="AJ3663" s="238"/>
    </row>
    <row r="3664" spans="1:39" ht="12.75" x14ac:dyDescent="0.2">
      <c r="AL3664" s="226"/>
      <c r="AM3664" s="226"/>
    </row>
    <row r="3665" spans="1:39" ht="12.75" x14ac:dyDescent="0.2">
      <c r="A3665" s="236"/>
      <c r="B3665" s="236"/>
      <c r="C3665" s="236"/>
      <c r="D3665" s="236"/>
      <c r="E3665" s="237"/>
      <c r="G3665" s="237"/>
      <c r="H3665" s="237"/>
      <c r="I3665" s="237"/>
      <c r="K3665" s="237"/>
      <c r="N3665" s="237"/>
      <c r="O3665" s="237"/>
      <c r="P3665" s="237"/>
      <c r="Q3665" s="237"/>
      <c r="AL3665" s="226"/>
      <c r="AM3665" s="226"/>
    </row>
    <row r="3666" spans="1:39" x14ac:dyDescent="0.25">
      <c r="AA3666" s="237"/>
      <c r="AB3666" s="237"/>
      <c r="AC3666" s="237"/>
      <c r="AD3666" s="237"/>
      <c r="AE3666" s="237"/>
      <c r="AF3666" s="237"/>
      <c r="AG3666" s="237"/>
      <c r="AH3666" s="237"/>
      <c r="AJ3666" s="238"/>
    </row>
    <row r="3667" spans="1:39" ht="12.75" x14ac:dyDescent="0.2">
      <c r="AL3667" s="226"/>
      <c r="AM3667" s="226"/>
    </row>
    <row r="3668" spans="1:39" ht="12.75" x14ac:dyDescent="0.2">
      <c r="A3668" s="236"/>
      <c r="B3668" s="236"/>
      <c r="C3668" s="236"/>
      <c r="D3668" s="236"/>
      <c r="E3668" s="237"/>
      <c r="G3668" s="237"/>
      <c r="H3668" s="237"/>
      <c r="I3668" s="237"/>
      <c r="K3668" s="237"/>
      <c r="N3668" s="237"/>
      <c r="O3668" s="237"/>
      <c r="P3668" s="237"/>
      <c r="Q3668" s="237"/>
      <c r="AL3668" s="226"/>
      <c r="AM3668" s="226"/>
    </row>
    <row r="3669" spans="1:39" x14ac:dyDescent="0.25">
      <c r="AA3669" s="237"/>
      <c r="AB3669" s="237"/>
      <c r="AC3669" s="237"/>
      <c r="AD3669" s="237"/>
      <c r="AE3669" s="237"/>
      <c r="AF3669" s="237"/>
      <c r="AG3669" s="237"/>
      <c r="AH3669" s="237"/>
      <c r="AJ3669" s="238"/>
    </row>
    <row r="3670" spans="1:39" x14ac:dyDescent="0.25">
      <c r="AA3670" s="237"/>
      <c r="AB3670" s="237"/>
      <c r="AC3670" s="237"/>
      <c r="AD3670" s="237"/>
      <c r="AE3670" s="237"/>
      <c r="AF3670" s="237"/>
      <c r="AG3670" s="237"/>
      <c r="AH3670" s="237"/>
      <c r="AJ3670" s="238"/>
    </row>
    <row r="3671" spans="1:39" x14ac:dyDescent="0.25">
      <c r="AA3671" s="237"/>
      <c r="AB3671" s="237"/>
      <c r="AC3671" s="237"/>
      <c r="AD3671" s="237"/>
      <c r="AE3671" s="237"/>
      <c r="AF3671" s="237"/>
      <c r="AG3671" s="237"/>
      <c r="AH3671" s="237"/>
      <c r="AJ3671" s="238"/>
    </row>
    <row r="3672" spans="1:39" x14ac:dyDescent="0.25">
      <c r="AA3672" s="237"/>
      <c r="AB3672" s="237"/>
      <c r="AC3672" s="237"/>
      <c r="AD3672" s="237"/>
      <c r="AE3672" s="237"/>
      <c r="AF3672" s="237"/>
      <c r="AG3672" s="237"/>
      <c r="AH3672" s="237"/>
      <c r="AJ3672" s="238"/>
    </row>
    <row r="3673" spans="1:39" x14ac:dyDescent="0.25">
      <c r="AA3673" s="237"/>
      <c r="AB3673" s="237"/>
      <c r="AC3673" s="237"/>
      <c r="AD3673" s="237"/>
      <c r="AE3673" s="237"/>
      <c r="AF3673" s="237"/>
      <c r="AG3673" s="237"/>
      <c r="AH3673" s="237"/>
      <c r="AJ3673" s="238"/>
    </row>
    <row r="3674" spans="1:39" ht="12.75" x14ac:dyDescent="0.2">
      <c r="AL3674" s="226"/>
      <c r="AM3674" s="226"/>
    </row>
    <row r="3675" spans="1:39" ht="12.75" x14ac:dyDescent="0.2">
      <c r="A3675" s="236"/>
      <c r="B3675" s="236"/>
      <c r="C3675" s="236"/>
      <c r="D3675" s="236"/>
      <c r="E3675" s="237"/>
      <c r="G3675" s="237"/>
      <c r="H3675" s="237"/>
      <c r="I3675" s="237"/>
      <c r="K3675" s="237"/>
      <c r="N3675" s="237"/>
      <c r="O3675" s="237"/>
      <c r="P3675" s="237"/>
      <c r="Q3675" s="237"/>
      <c r="AL3675" s="226"/>
      <c r="AM3675" s="226"/>
    </row>
    <row r="3676" spans="1:39" x14ac:dyDescent="0.25">
      <c r="AA3676" s="237"/>
      <c r="AB3676" s="237"/>
      <c r="AC3676" s="237"/>
      <c r="AD3676" s="237"/>
      <c r="AE3676" s="237"/>
      <c r="AF3676" s="237"/>
      <c r="AG3676" s="237"/>
      <c r="AH3676" s="237"/>
      <c r="AJ3676" s="238"/>
    </row>
    <row r="3677" spans="1:39" ht="12.75" x14ac:dyDescent="0.2">
      <c r="AL3677" s="226"/>
      <c r="AM3677" s="226"/>
    </row>
    <row r="3678" spans="1:39" ht="12.75" x14ac:dyDescent="0.2">
      <c r="A3678" s="236"/>
      <c r="B3678" s="236"/>
      <c r="C3678" s="236"/>
      <c r="D3678" s="236"/>
      <c r="E3678" s="237"/>
      <c r="G3678" s="237"/>
      <c r="H3678" s="237"/>
      <c r="I3678" s="237"/>
      <c r="K3678" s="237"/>
      <c r="N3678" s="237"/>
      <c r="O3678" s="237"/>
      <c r="P3678" s="237"/>
      <c r="Q3678" s="237"/>
      <c r="AL3678" s="226"/>
      <c r="AM3678" s="226"/>
    </row>
    <row r="3679" spans="1:39" x14ac:dyDescent="0.25">
      <c r="AA3679" s="237"/>
      <c r="AB3679" s="237"/>
      <c r="AC3679" s="237"/>
      <c r="AD3679" s="237"/>
      <c r="AE3679" s="237"/>
      <c r="AF3679" s="237"/>
      <c r="AG3679" s="237"/>
      <c r="AH3679" s="237"/>
      <c r="AJ3679" s="238"/>
    </row>
    <row r="3680" spans="1:39" ht="12.75" x14ac:dyDescent="0.2">
      <c r="AL3680" s="226"/>
      <c r="AM3680" s="226"/>
    </row>
    <row r="3681" spans="1:39" ht="12.75" x14ac:dyDescent="0.2">
      <c r="A3681" s="236"/>
      <c r="B3681" s="236"/>
      <c r="C3681" s="236"/>
      <c r="D3681" s="236"/>
      <c r="E3681" s="237"/>
      <c r="G3681" s="237"/>
      <c r="H3681" s="237"/>
      <c r="I3681" s="237"/>
      <c r="K3681" s="237"/>
      <c r="N3681" s="237"/>
      <c r="O3681" s="237"/>
      <c r="P3681" s="237"/>
      <c r="Q3681" s="237"/>
      <c r="AL3681" s="226"/>
      <c r="AM3681" s="226"/>
    </row>
    <row r="3682" spans="1:39" x14ac:dyDescent="0.25">
      <c r="AA3682" s="237"/>
      <c r="AB3682" s="237"/>
      <c r="AC3682" s="237"/>
      <c r="AD3682" s="237"/>
      <c r="AE3682" s="237"/>
      <c r="AF3682" s="237"/>
      <c r="AG3682" s="237"/>
      <c r="AH3682" s="237"/>
      <c r="AJ3682" s="238"/>
    </row>
    <row r="3683" spans="1:39" ht="12.75" x14ac:dyDescent="0.2">
      <c r="AL3683" s="226"/>
      <c r="AM3683" s="226"/>
    </row>
    <row r="3684" spans="1:39" ht="12.75" x14ac:dyDescent="0.2">
      <c r="A3684" s="236"/>
      <c r="B3684" s="236"/>
      <c r="C3684" s="236"/>
      <c r="D3684" s="236"/>
      <c r="E3684" s="237"/>
      <c r="G3684" s="237"/>
      <c r="H3684" s="237"/>
      <c r="I3684" s="237"/>
      <c r="K3684" s="237"/>
      <c r="N3684" s="237"/>
      <c r="O3684" s="237"/>
      <c r="P3684" s="237"/>
      <c r="Q3684" s="237"/>
      <c r="AL3684" s="226"/>
      <c r="AM3684" s="226"/>
    </row>
    <row r="3685" spans="1:39" x14ac:dyDescent="0.25">
      <c r="AA3685" s="237"/>
      <c r="AB3685" s="237"/>
      <c r="AC3685" s="237"/>
      <c r="AD3685" s="237"/>
      <c r="AE3685" s="237"/>
      <c r="AF3685" s="237"/>
      <c r="AG3685" s="237"/>
      <c r="AH3685" s="237"/>
      <c r="AJ3685" s="238"/>
    </row>
    <row r="3686" spans="1:39" ht="12.75" x14ac:dyDescent="0.2">
      <c r="AL3686" s="226"/>
      <c r="AM3686" s="226"/>
    </row>
    <row r="3687" spans="1:39" ht="12.75" x14ac:dyDescent="0.2">
      <c r="A3687" s="236"/>
      <c r="B3687" s="236"/>
      <c r="C3687" s="236"/>
      <c r="D3687" s="236"/>
      <c r="E3687" s="237"/>
      <c r="G3687" s="237"/>
      <c r="H3687" s="237"/>
      <c r="I3687" s="237"/>
      <c r="K3687" s="237"/>
      <c r="N3687" s="237"/>
      <c r="O3687" s="237"/>
      <c r="P3687" s="237"/>
      <c r="Q3687" s="237"/>
      <c r="AL3687" s="226"/>
      <c r="AM3687" s="226"/>
    </row>
    <row r="3688" spans="1:39" x14ac:dyDescent="0.25">
      <c r="AA3688" s="237"/>
      <c r="AB3688" s="237"/>
      <c r="AC3688" s="237"/>
      <c r="AD3688" s="237"/>
      <c r="AE3688" s="237"/>
      <c r="AF3688" s="237"/>
      <c r="AG3688" s="237"/>
      <c r="AH3688" s="237"/>
      <c r="AJ3688" s="238"/>
    </row>
    <row r="3689" spans="1:39" x14ac:dyDescent="0.25">
      <c r="AA3689" s="237"/>
      <c r="AB3689" s="237"/>
      <c r="AC3689" s="237"/>
      <c r="AD3689" s="237"/>
      <c r="AE3689" s="237"/>
      <c r="AF3689" s="237"/>
      <c r="AG3689" s="237"/>
      <c r="AH3689" s="237"/>
      <c r="AJ3689" s="238"/>
    </row>
    <row r="3690" spans="1:39" x14ac:dyDescent="0.25">
      <c r="AA3690" s="237"/>
      <c r="AB3690" s="237"/>
      <c r="AC3690" s="237"/>
      <c r="AD3690" s="237"/>
      <c r="AE3690" s="237"/>
      <c r="AF3690" s="237"/>
      <c r="AG3690" s="237"/>
      <c r="AH3690" s="237"/>
      <c r="AJ3690" s="238"/>
    </row>
    <row r="3691" spans="1:39" ht="12.75" x14ac:dyDescent="0.2">
      <c r="AL3691" s="226"/>
      <c r="AM3691" s="226"/>
    </row>
    <row r="3692" spans="1:39" ht="12.75" x14ac:dyDescent="0.2">
      <c r="A3692" s="236"/>
      <c r="B3692" s="236"/>
      <c r="C3692" s="236"/>
      <c r="D3692" s="236"/>
      <c r="E3692" s="237"/>
      <c r="G3692" s="237"/>
      <c r="H3692" s="237"/>
      <c r="I3692" s="237"/>
      <c r="K3692" s="237"/>
      <c r="N3692" s="237"/>
      <c r="O3692" s="237"/>
      <c r="P3692" s="237"/>
      <c r="Q3692" s="237"/>
      <c r="AL3692" s="226"/>
      <c r="AM3692" s="226"/>
    </row>
    <row r="3693" spans="1:39" x14ac:dyDescent="0.25">
      <c r="AA3693" s="237"/>
      <c r="AB3693" s="237"/>
      <c r="AC3693" s="237"/>
      <c r="AD3693" s="237"/>
      <c r="AE3693" s="237"/>
      <c r="AF3693" s="237"/>
      <c r="AG3693" s="237"/>
      <c r="AH3693" s="237"/>
      <c r="AJ3693" s="238"/>
    </row>
    <row r="3694" spans="1:39" ht="12.75" x14ac:dyDescent="0.2">
      <c r="AL3694" s="226"/>
      <c r="AM3694" s="226"/>
    </row>
    <row r="3695" spans="1:39" ht="12.75" x14ac:dyDescent="0.2">
      <c r="A3695" s="236"/>
      <c r="B3695" s="236"/>
      <c r="C3695" s="236"/>
      <c r="D3695" s="236"/>
      <c r="E3695" s="237"/>
      <c r="G3695" s="237"/>
      <c r="H3695" s="237"/>
      <c r="I3695" s="237"/>
      <c r="K3695" s="237"/>
      <c r="N3695" s="237"/>
      <c r="O3695" s="237"/>
      <c r="P3695" s="237"/>
      <c r="Q3695" s="237"/>
      <c r="AL3695" s="226"/>
      <c r="AM3695" s="226"/>
    </row>
    <row r="3696" spans="1:39" x14ac:dyDescent="0.25">
      <c r="AA3696" s="237"/>
      <c r="AB3696" s="237"/>
      <c r="AC3696" s="237"/>
      <c r="AD3696" s="237"/>
      <c r="AE3696" s="237"/>
      <c r="AF3696" s="237"/>
      <c r="AG3696" s="237"/>
      <c r="AH3696" s="237"/>
      <c r="AJ3696" s="238"/>
    </row>
    <row r="3697" spans="1:39" x14ac:dyDescent="0.25">
      <c r="AA3697" s="237"/>
      <c r="AB3697" s="237"/>
      <c r="AC3697" s="237"/>
      <c r="AD3697" s="237"/>
      <c r="AE3697" s="237"/>
      <c r="AF3697" s="237"/>
      <c r="AG3697" s="237"/>
      <c r="AH3697" s="237"/>
      <c r="AJ3697" s="238"/>
    </row>
    <row r="3698" spans="1:39" ht="12.75" x14ac:dyDescent="0.2">
      <c r="AL3698" s="226"/>
      <c r="AM3698" s="226"/>
    </row>
    <row r="3699" spans="1:39" ht="12.75" x14ac:dyDescent="0.2">
      <c r="A3699" s="236"/>
      <c r="B3699" s="236"/>
      <c r="C3699" s="236"/>
      <c r="D3699" s="236"/>
      <c r="E3699" s="237"/>
      <c r="G3699" s="237"/>
      <c r="H3699" s="237"/>
      <c r="I3699" s="237"/>
      <c r="K3699" s="237"/>
      <c r="N3699" s="237"/>
      <c r="O3699" s="237"/>
      <c r="P3699" s="237"/>
      <c r="Q3699" s="237"/>
      <c r="AL3699" s="226"/>
      <c r="AM3699" s="226"/>
    </row>
    <row r="3700" spans="1:39" x14ac:dyDescent="0.25">
      <c r="AA3700" s="237"/>
      <c r="AB3700" s="237"/>
      <c r="AC3700" s="237"/>
      <c r="AD3700" s="237"/>
      <c r="AE3700" s="237"/>
      <c r="AF3700" s="237"/>
      <c r="AG3700" s="237"/>
      <c r="AH3700" s="237"/>
      <c r="AJ3700" s="238"/>
    </row>
    <row r="3701" spans="1:39" ht="12.75" x14ac:dyDescent="0.2">
      <c r="AL3701" s="226"/>
      <c r="AM3701" s="226"/>
    </row>
    <row r="3702" spans="1:39" ht="12.75" x14ac:dyDescent="0.2">
      <c r="A3702" s="236"/>
      <c r="B3702" s="236"/>
      <c r="C3702" s="236"/>
      <c r="D3702" s="236"/>
      <c r="E3702" s="237"/>
      <c r="G3702" s="237"/>
      <c r="H3702" s="237"/>
      <c r="I3702" s="237"/>
      <c r="K3702" s="237"/>
      <c r="N3702" s="237"/>
      <c r="O3702" s="237"/>
      <c r="P3702" s="237"/>
      <c r="Q3702" s="237"/>
      <c r="AL3702" s="226"/>
      <c r="AM3702" s="226"/>
    </row>
    <row r="3703" spans="1:39" x14ac:dyDescent="0.25">
      <c r="AA3703" s="237"/>
      <c r="AB3703" s="237"/>
      <c r="AC3703" s="237"/>
      <c r="AD3703" s="237"/>
      <c r="AE3703" s="237"/>
      <c r="AF3703" s="237"/>
      <c r="AG3703" s="237"/>
      <c r="AH3703" s="237"/>
      <c r="AJ3703" s="238"/>
    </row>
    <row r="3704" spans="1:39" x14ac:dyDescent="0.25">
      <c r="AA3704" s="237"/>
      <c r="AB3704" s="237"/>
      <c r="AC3704" s="237"/>
      <c r="AD3704" s="237"/>
      <c r="AE3704" s="237"/>
      <c r="AF3704" s="237"/>
      <c r="AG3704" s="237"/>
      <c r="AH3704" s="237"/>
      <c r="AJ3704" s="238"/>
    </row>
    <row r="3705" spans="1:39" ht="12.75" x14ac:dyDescent="0.2">
      <c r="AL3705" s="226"/>
      <c r="AM3705" s="226"/>
    </row>
    <row r="3706" spans="1:39" ht="12.75" x14ac:dyDescent="0.2">
      <c r="A3706" s="236"/>
      <c r="B3706" s="236"/>
      <c r="C3706" s="236"/>
      <c r="D3706" s="236"/>
      <c r="E3706" s="237"/>
      <c r="G3706" s="237"/>
      <c r="H3706" s="237"/>
      <c r="I3706" s="237"/>
      <c r="K3706" s="237"/>
      <c r="N3706" s="237"/>
      <c r="O3706" s="237"/>
      <c r="P3706" s="237"/>
      <c r="Q3706" s="237"/>
      <c r="AL3706" s="226"/>
      <c r="AM3706" s="226"/>
    </row>
    <row r="3707" spans="1:39" x14ac:dyDescent="0.25">
      <c r="AA3707" s="237"/>
      <c r="AB3707" s="237"/>
      <c r="AC3707" s="237"/>
      <c r="AD3707" s="237"/>
      <c r="AE3707" s="237"/>
      <c r="AF3707" s="237"/>
      <c r="AG3707" s="237"/>
      <c r="AH3707" s="237"/>
      <c r="AJ3707" s="238"/>
    </row>
    <row r="3708" spans="1:39" x14ac:dyDescent="0.25">
      <c r="AA3708" s="237"/>
      <c r="AB3708" s="237"/>
      <c r="AC3708" s="237"/>
      <c r="AD3708" s="237"/>
      <c r="AE3708" s="237"/>
      <c r="AF3708" s="237"/>
      <c r="AG3708" s="237"/>
      <c r="AH3708" s="237"/>
      <c r="AJ3708" s="238"/>
    </row>
    <row r="3709" spans="1:39" x14ac:dyDescent="0.25">
      <c r="AA3709" s="237"/>
      <c r="AB3709" s="237"/>
      <c r="AC3709" s="237"/>
      <c r="AD3709" s="237"/>
      <c r="AE3709" s="237"/>
      <c r="AF3709" s="237"/>
      <c r="AG3709" s="237"/>
      <c r="AH3709" s="237"/>
      <c r="AJ3709" s="238"/>
    </row>
    <row r="3710" spans="1:39" x14ac:dyDescent="0.25">
      <c r="AA3710" s="237"/>
      <c r="AB3710" s="237"/>
      <c r="AC3710" s="237"/>
      <c r="AD3710" s="237"/>
      <c r="AE3710" s="237"/>
      <c r="AF3710" s="237"/>
      <c r="AG3710" s="237"/>
      <c r="AH3710" s="237"/>
      <c r="AJ3710" s="238"/>
    </row>
    <row r="3711" spans="1:39" x14ac:dyDescent="0.25">
      <c r="AA3711" s="237"/>
      <c r="AB3711" s="237"/>
      <c r="AC3711" s="237"/>
      <c r="AD3711" s="237"/>
      <c r="AE3711" s="237"/>
      <c r="AF3711" s="237"/>
      <c r="AG3711" s="237"/>
      <c r="AH3711" s="237"/>
      <c r="AJ3711" s="238"/>
    </row>
    <row r="3712" spans="1:39" x14ac:dyDescent="0.25">
      <c r="AA3712" s="237"/>
      <c r="AB3712" s="237"/>
      <c r="AC3712" s="237"/>
      <c r="AD3712" s="237"/>
      <c r="AE3712" s="237"/>
      <c r="AF3712" s="237"/>
      <c r="AG3712" s="237"/>
      <c r="AH3712" s="237"/>
      <c r="AJ3712" s="238"/>
    </row>
    <row r="3713" spans="1:39" x14ac:dyDescent="0.25">
      <c r="AA3713" s="237"/>
      <c r="AB3713" s="237"/>
      <c r="AC3713" s="237"/>
      <c r="AD3713" s="237"/>
      <c r="AE3713" s="237"/>
      <c r="AF3713" s="237"/>
      <c r="AG3713" s="237"/>
      <c r="AH3713" s="237"/>
      <c r="AJ3713" s="238"/>
    </row>
    <row r="3714" spans="1:39" x14ac:dyDescent="0.25">
      <c r="AA3714" s="237"/>
      <c r="AB3714" s="237"/>
      <c r="AC3714" s="237"/>
      <c r="AD3714" s="237"/>
      <c r="AE3714" s="237"/>
      <c r="AF3714" s="237"/>
      <c r="AG3714" s="237"/>
      <c r="AH3714" s="237"/>
      <c r="AJ3714" s="238"/>
    </row>
    <row r="3715" spans="1:39" x14ac:dyDescent="0.25">
      <c r="AA3715" s="237"/>
      <c r="AB3715" s="237"/>
      <c r="AC3715" s="237"/>
      <c r="AD3715" s="237"/>
      <c r="AE3715" s="237"/>
      <c r="AF3715" s="237"/>
      <c r="AG3715" s="237"/>
      <c r="AH3715" s="237"/>
      <c r="AJ3715" s="238"/>
    </row>
    <row r="3716" spans="1:39" ht="12.75" x14ac:dyDescent="0.2">
      <c r="AL3716" s="226"/>
      <c r="AM3716" s="226"/>
    </row>
    <row r="3717" spans="1:39" ht="12.75" x14ac:dyDescent="0.2">
      <c r="A3717" s="236"/>
      <c r="B3717" s="236"/>
      <c r="C3717" s="236"/>
      <c r="D3717" s="236"/>
      <c r="E3717" s="237"/>
      <c r="G3717" s="237"/>
      <c r="H3717" s="237"/>
      <c r="I3717" s="237"/>
      <c r="K3717" s="237"/>
      <c r="N3717" s="237"/>
      <c r="O3717" s="237"/>
      <c r="P3717" s="237"/>
      <c r="Q3717" s="237"/>
      <c r="AL3717" s="226"/>
      <c r="AM3717" s="226"/>
    </row>
    <row r="3718" spans="1:39" x14ac:dyDescent="0.25">
      <c r="AA3718" s="237"/>
      <c r="AB3718" s="237"/>
      <c r="AC3718" s="237"/>
      <c r="AD3718" s="237"/>
      <c r="AE3718" s="237"/>
      <c r="AF3718" s="237"/>
      <c r="AG3718" s="237"/>
      <c r="AH3718" s="237"/>
      <c r="AJ3718" s="238"/>
    </row>
    <row r="3719" spans="1:39" ht="12.75" x14ac:dyDescent="0.2">
      <c r="AL3719" s="226"/>
      <c r="AM3719" s="226"/>
    </row>
    <row r="3720" spans="1:39" ht="12.75" x14ac:dyDescent="0.2">
      <c r="A3720" s="236"/>
      <c r="B3720" s="236"/>
      <c r="C3720" s="236"/>
      <c r="D3720" s="236"/>
      <c r="E3720" s="237"/>
      <c r="G3720" s="237"/>
      <c r="H3720" s="237"/>
      <c r="I3720" s="237"/>
      <c r="K3720" s="237"/>
      <c r="N3720" s="237"/>
      <c r="O3720" s="237"/>
      <c r="P3720" s="237"/>
      <c r="Q3720" s="237"/>
      <c r="AL3720" s="226"/>
      <c r="AM3720" s="226"/>
    </row>
    <row r="3721" spans="1:39" x14ac:dyDescent="0.25">
      <c r="AA3721" s="237"/>
      <c r="AB3721" s="237"/>
      <c r="AC3721" s="237"/>
      <c r="AD3721" s="237"/>
      <c r="AE3721" s="237"/>
      <c r="AF3721" s="237"/>
      <c r="AG3721" s="237"/>
      <c r="AH3721" s="237"/>
      <c r="AJ3721" s="238"/>
    </row>
    <row r="3722" spans="1:39" ht="12.75" x14ac:dyDescent="0.2">
      <c r="AL3722" s="226"/>
      <c r="AM3722" s="226"/>
    </row>
    <row r="3723" spans="1:39" ht="12.75" x14ac:dyDescent="0.2">
      <c r="A3723" s="236"/>
      <c r="B3723" s="236"/>
      <c r="C3723" s="236"/>
      <c r="D3723" s="236"/>
      <c r="E3723" s="237"/>
      <c r="G3723" s="237"/>
      <c r="H3723" s="237"/>
      <c r="I3723" s="237"/>
      <c r="K3723" s="237"/>
      <c r="N3723" s="237"/>
      <c r="O3723" s="237"/>
      <c r="P3723" s="237"/>
      <c r="Q3723" s="237"/>
      <c r="AL3723" s="226"/>
      <c r="AM3723" s="226"/>
    </row>
    <row r="3724" spans="1:39" x14ac:dyDescent="0.25">
      <c r="AA3724" s="237"/>
      <c r="AB3724" s="237"/>
      <c r="AC3724" s="237"/>
      <c r="AD3724" s="237"/>
      <c r="AE3724" s="237"/>
      <c r="AF3724" s="237"/>
      <c r="AG3724" s="237"/>
      <c r="AH3724" s="237"/>
      <c r="AJ3724" s="238"/>
    </row>
    <row r="3725" spans="1:39" x14ac:dyDescent="0.25">
      <c r="AA3725" s="237"/>
      <c r="AB3725" s="237"/>
      <c r="AC3725" s="237"/>
      <c r="AD3725" s="237"/>
      <c r="AE3725" s="237"/>
      <c r="AF3725" s="237"/>
      <c r="AG3725" s="237"/>
      <c r="AH3725" s="237"/>
      <c r="AJ3725" s="238"/>
    </row>
    <row r="3726" spans="1:39" ht="12.75" x14ac:dyDescent="0.2">
      <c r="AL3726" s="226"/>
      <c r="AM3726" s="226"/>
    </row>
    <row r="3727" spans="1:39" ht="12.75" x14ac:dyDescent="0.2">
      <c r="A3727" s="236"/>
      <c r="B3727" s="236"/>
      <c r="C3727" s="236"/>
      <c r="D3727" s="236"/>
      <c r="E3727" s="237"/>
      <c r="G3727" s="237"/>
      <c r="H3727" s="237"/>
      <c r="I3727" s="237"/>
      <c r="K3727" s="237"/>
      <c r="N3727" s="237"/>
      <c r="O3727" s="237"/>
      <c r="P3727" s="237"/>
      <c r="Q3727" s="237"/>
      <c r="AL3727" s="226"/>
      <c r="AM3727" s="226"/>
    </row>
    <row r="3728" spans="1:39" x14ac:dyDescent="0.25">
      <c r="AA3728" s="237"/>
      <c r="AB3728" s="237"/>
      <c r="AC3728" s="237"/>
      <c r="AD3728" s="237"/>
      <c r="AE3728" s="237"/>
      <c r="AF3728" s="237"/>
      <c r="AG3728" s="237"/>
      <c r="AH3728" s="237"/>
      <c r="AJ3728" s="238"/>
    </row>
    <row r="3729" spans="1:39" x14ac:dyDescent="0.25">
      <c r="AA3729" s="237"/>
      <c r="AB3729" s="237"/>
      <c r="AC3729" s="237"/>
      <c r="AD3729" s="237"/>
      <c r="AE3729" s="237"/>
      <c r="AF3729" s="237"/>
      <c r="AG3729" s="237"/>
      <c r="AH3729" s="237"/>
      <c r="AJ3729" s="238"/>
    </row>
    <row r="3730" spans="1:39" ht="12.75" x14ac:dyDescent="0.2">
      <c r="AL3730" s="226"/>
      <c r="AM3730" s="226"/>
    </row>
    <row r="3731" spans="1:39" ht="12.75" x14ac:dyDescent="0.2">
      <c r="A3731" s="236"/>
      <c r="B3731" s="236"/>
      <c r="C3731" s="236"/>
      <c r="D3731" s="236"/>
      <c r="E3731" s="237"/>
      <c r="G3731" s="237"/>
      <c r="H3731" s="237"/>
      <c r="I3731" s="237"/>
      <c r="K3731" s="237"/>
      <c r="N3731" s="237"/>
      <c r="O3731" s="237"/>
      <c r="P3731" s="237"/>
      <c r="Q3731" s="237"/>
      <c r="AL3731" s="226"/>
      <c r="AM3731" s="226"/>
    </row>
    <row r="3732" spans="1:39" x14ac:dyDescent="0.25">
      <c r="AA3732" s="237"/>
      <c r="AB3732" s="237"/>
      <c r="AC3732" s="237"/>
      <c r="AD3732" s="237"/>
      <c r="AE3732" s="237"/>
      <c r="AF3732" s="237"/>
      <c r="AG3732" s="237"/>
      <c r="AH3732" s="237"/>
      <c r="AJ3732" s="238"/>
    </row>
    <row r="3733" spans="1:39" x14ac:dyDescent="0.25">
      <c r="AA3733" s="237"/>
      <c r="AB3733" s="237"/>
      <c r="AC3733" s="237"/>
      <c r="AD3733" s="237"/>
      <c r="AE3733" s="237"/>
      <c r="AF3733" s="237"/>
      <c r="AG3733" s="237"/>
      <c r="AH3733" s="237"/>
      <c r="AJ3733" s="238"/>
    </row>
    <row r="3734" spans="1:39" ht="12.75" x14ac:dyDescent="0.2">
      <c r="AL3734" s="226"/>
      <c r="AM3734" s="226"/>
    </row>
    <row r="3735" spans="1:39" ht="12.75" x14ac:dyDescent="0.2">
      <c r="A3735" s="236"/>
      <c r="B3735" s="236"/>
      <c r="C3735" s="236"/>
      <c r="D3735" s="236"/>
      <c r="E3735" s="237"/>
      <c r="G3735" s="237"/>
      <c r="H3735" s="237"/>
      <c r="I3735" s="237"/>
      <c r="K3735" s="237"/>
      <c r="N3735" s="237"/>
      <c r="O3735" s="237"/>
      <c r="P3735" s="237"/>
      <c r="Q3735" s="237"/>
      <c r="AL3735" s="226"/>
      <c r="AM3735" s="226"/>
    </row>
    <row r="3736" spans="1:39" x14ac:dyDescent="0.25">
      <c r="AA3736" s="237"/>
      <c r="AB3736" s="237"/>
      <c r="AC3736" s="237"/>
      <c r="AD3736" s="237"/>
      <c r="AE3736" s="237"/>
      <c r="AF3736" s="237"/>
      <c r="AG3736" s="237"/>
      <c r="AH3736" s="237"/>
      <c r="AJ3736" s="238"/>
    </row>
    <row r="3737" spans="1:39" ht="12.75" x14ac:dyDescent="0.2">
      <c r="AL3737" s="226"/>
      <c r="AM3737" s="226"/>
    </row>
    <row r="3738" spans="1:39" ht="12.75" x14ac:dyDescent="0.2">
      <c r="A3738" s="236"/>
      <c r="B3738" s="236"/>
      <c r="C3738" s="236"/>
      <c r="D3738" s="236"/>
      <c r="E3738" s="237"/>
      <c r="G3738" s="237"/>
      <c r="H3738" s="237"/>
      <c r="I3738" s="237"/>
      <c r="K3738" s="237"/>
      <c r="N3738" s="237"/>
      <c r="O3738" s="237"/>
      <c r="P3738" s="237"/>
      <c r="Q3738" s="237"/>
      <c r="AL3738" s="226"/>
      <c r="AM3738" s="226"/>
    </row>
    <row r="3739" spans="1:39" x14ac:dyDescent="0.25">
      <c r="AA3739" s="237"/>
      <c r="AB3739" s="237"/>
      <c r="AC3739" s="237"/>
      <c r="AD3739" s="237"/>
      <c r="AE3739" s="237"/>
      <c r="AF3739" s="237"/>
      <c r="AG3739" s="237"/>
      <c r="AH3739" s="237"/>
      <c r="AJ3739" s="238"/>
    </row>
    <row r="3740" spans="1:39" x14ac:dyDescent="0.25">
      <c r="AA3740" s="237"/>
      <c r="AB3740" s="237"/>
      <c r="AC3740" s="237"/>
      <c r="AD3740" s="237"/>
      <c r="AE3740" s="237"/>
      <c r="AF3740" s="237"/>
      <c r="AG3740" s="237"/>
      <c r="AH3740" s="237"/>
      <c r="AJ3740" s="238"/>
    </row>
    <row r="3741" spans="1:39" x14ac:dyDescent="0.25">
      <c r="AA3741" s="237"/>
      <c r="AB3741" s="237"/>
      <c r="AC3741" s="237"/>
      <c r="AD3741" s="237"/>
      <c r="AE3741" s="237"/>
      <c r="AF3741" s="237"/>
      <c r="AG3741" s="237"/>
      <c r="AH3741" s="237"/>
      <c r="AJ3741" s="238"/>
    </row>
    <row r="3742" spans="1:39" x14ac:dyDescent="0.25">
      <c r="AA3742" s="237"/>
      <c r="AB3742" s="237"/>
      <c r="AC3742" s="237"/>
      <c r="AD3742" s="237"/>
      <c r="AE3742" s="237"/>
      <c r="AF3742" s="237"/>
      <c r="AG3742" s="237"/>
      <c r="AH3742" s="237"/>
      <c r="AJ3742" s="238"/>
    </row>
    <row r="3743" spans="1:39" ht="12.75" x14ac:dyDescent="0.2">
      <c r="AL3743" s="226"/>
      <c r="AM3743" s="226"/>
    </row>
    <row r="3744" spans="1:39" ht="12.75" x14ac:dyDescent="0.2">
      <c r="A3744" s="236"/>
      <c r="B3744" s="236"/>
      <c r="C3744" s="236"/>
      <c r="D3744" s="236"/>
      <c r="E3744" s="237"/>
      <c r="G3744" s="237"/>
      <c r="H3744" s="237"/>
      <c r="I3744" s="237"/>
      <c r="K3744" s="237"/>
      <c r="N3744" s="237"/>
      <c r="O3744" s="237"/>
      <c r="P3744" s="237"/>
      <c r="Q3744" s="237"/>
      <c r="AL3744" s="226"/>
      <c r="AM3744" s="226"/>
    </row>
    <row r="3745" spans="1:39" x14ac:dyDescent="0.25">
      <c r="AA3745" s="237"/>
      <c r="AB3745" s="237"/>
      <c r="AC3745" s="237"/>
      <c r="AD3745" s="237"/>
      <c r="AE3745" s="237"/>
      <c r="AF3745" s="237"/>
      <c r="AG3745" s="237"/>
      <c r="AH3745" s="237"/>
      <c r="AJ3745" s="238"/>
    </row>
    <row r="3746" spans="1:39" ht="12.75" x14ac:dyDescent="0.2">
      <c r="AL3746" s="226"/>
      <c r="AM3746" s="226"/>
    </row>
    <row r="3747" spans="1:39" ht="12.75" x14ac:dyDescent="0.2">
      <c r="A3747" s="236"/>
      <c r="B3747" s="236"/>
      <c r="C3747" s="236"/>
      <c r="D3747" s="236"/>
      <c r="E3747" s="237"/>
      <c r="G3747" s="237"/>
      <c r="H3747" s="237"/>
      <c r="I3747" s="237"/>
      <c r="K3747" s="237"/>
      <c r="N3747" s="237"/>
      <c r="O3747" s="237"/>
      <c r="P3747" s="237"/>
      <c r="Q3747" s="237"/>
      <c r="AL3747" s="226"/>
      <c r="AM3747" s="226"/>
    </row>
    <row r="3748" spans="1:39" x14ac:dyDescent="0.25">
      <c r="AA3748" s="237"/>
      <c r="AB3748" s="237"/>
      <c r="AC3748" s="237"/>
      <c r="AD3748" s="237"/>
      <c r="AE3748" s="237"/>
      <c r="AF3748" s="237"/>
      <c r="AG3748" s="237"/>
      <c r="AH3748" s="237"/>
      <c r="AJ3748" s="238"/>
    </row>
    <row r="3749" spans="1:39" ht="12.75" x14ac:dyDescent="0.2">
      <c r="AL3749" s="226"/>
      <c r="AM3749" s="226"/>
    </row>
    <row r="3750" spans="1:39" ht="12.75" x14ac:dyDescent="0.2">
      <c r="A3750" s="236"/>
      <c r="B3750" s="236"/>
      <c r="C3750" s="236"/>
      <c r="D3750" s="236"/>
      <c r="E3750" s="237"/>
      <c r="G3750" s="237"/>
      <c r="H3750" s="237"/>
      <c r="I3750" s="237"/>
      <c r="K3750" s="237"/>
      <c r="N3750" s="237"/>
      <c r="O3750" s="237"/>
      <c r="P3750" s="237"/>
      <c r="Q3750" s="237"/>
      <c r="AL3750" s="226"/>
      <c r="AM3750" s="226"/>
    </row>
    <row r="3751" spans="1:39" x14ac:dyDescent="0.25">
      <c r="AA3751" s="237"/>
      <c r="AB3751" s="237"/>
      <c r="AC3751" s="237"/>
      <c r="AD3751" s="237"/>
      <c r="AE3751" s="237"/>
      <c r="AF3751" s="237"/>
      <c r="AG3751" s="237"/>
      <c r="AH3751" s="237"/>
      <c r="AJ3751" s="238"/>
    </row>
    <row r="3752" spans="1:39" x14ac:dyDescent="0.25">
      <c r="AA3752" s="237"/>
      <c r="AB3752" s="237"/>
      <c r="AC3752" s="237"/>
      <c r="AD3752" s="237"/>
      <c r="AE3752" s="237"/>
      <c r="AF3752" s="237"/>
      <c r="AG3752" s="237"/>
      <c r="AH3752" s="237"/>
      <c r="AJ3752" s="238"/>
    </row>
    <row r="3753" spans="1:39" ht="12.75" x14ac:dyDescent="0.2">
      <c r="AL3753" s="226"/>
      <c r="AM3753" s="226"/>
    </row>
    <row r="3754" spans="1:39" ht="12.75" x14ac:dyDescent="0.2">
      <c r="A3754" s="236"/>
      <c r="B3754" s="236"/>
      <c r="C3754" s="236"/>
      <c r="D3754" s="236"/>
      <c r="E3754" s="237"/>
      <c r="G3754" s="237"/>
      <c r="H3754" s="237"/>
      <c r="I3754" s="237"/>
      <c r="K3754" s="237"/>
      <c r="N3754" s="237"/>
      <c r="O3754" s="237"/>
      <c r="P3754" s="237"/>
      <c r="Q3754" s="237"/>
      <c r="AL3754" s="226"/>
      <c r="AM3754" s="226"/>
    </row>
    <row r="3755" spans="1:39" x14ac:dyDescent="0.25">
      <c r="AA3755" s="237"/>
      <c r="AB3755" s="237"/>
      <c r="AC3755" s="237"/>
      <c r="AD3755" s="237"/>
      <c r="AE3755" s="237"/>
      <c r="AF3755" s="237"/>
      <c r="AG3755" s="237"/>
      <c r="AH3755" s="237"/>
      <c r="AJ3755" s="238"/>
    </row>
    <row r="3756" spans="1:39" ht="12.75" x14ac:dyDescent="0.2">
      <c r="AL3756" s="226"/>
      <c r="AM3756" s="226"/>
    </row>
    <row r="3757" spans="1:39" ht="12.75" x14ac:dyDescent="0.2">
      <c r="A3757" s="236"/>
      <c r="B3757" s="236"/>
      <c r="C3757" s="236"/>
      <c r="D3757" s="236"/>
      <c r="E3757" s="237"/>
      <c r="G3757" s="237"/>
      <c r="H3757" s="237"/>
      <c r="I3757" s="237"/>
      <c r="K3757" s="237"/>
      <c r="N3757" s="237"/>
      <c r="O3757" s="237"/>
      <c r="P3757" s="237"/>
      <c r="Q3757" s="237"/>
      <c r="AL3757" s="226"/>
      <c r="AM3757" s="226"/>
    </row>
    <row r="3758" spans="1:39" x14ac:dyDescent="0.25">
      <c r="AA3758" s="237"/>
      <c r="AB3758" s="237"/>
      <c r="AC3758" s="237"/>
      <c r="AD3758" s="237"/>
      <c r="AE3758" s="237"/>
      <c r="AF3758" s="237"/>
      <c r="AG3758" s="237"/>
      <c r="AH3758" s="237"/>
      <c r="AJ3758" s="238"/>
    </row>
    <row r="3759" spans="1:39" x14ac:dyDescent="0.25">
      <c r="AA3759" s="237"/>
      <c r="AB3759" s="237"/>
      <c r="AC3759" s="237"/>
      <c r="AD3759" s="237"/>
      <c r="AE3759" s="237"/>
      <c r="AF3759" s="237"/>
      <c r="AG3759" s="237"/>
      <c r="AH3759" s="237"/>
      <c r="AJ3759" s="238"/>
    </row>
    <row r="3760" spans="1:39" ht="12.75" x14ac:dyDescent="0.2">
      <c r="AL3760" s="226"/>
      <c r="AM3760" s="226"/>
    </row>
    <row r="3761" spans="1:39" ht="12.75" x14ac:dyDescent="0.2">
      <c r="A3761" s="236"/>
      <c r="B3761" s="236"/>
      <c r="C3761" s="236"/>
      <c r="D3761" s="236"/>
      <c r="E3761" s="237"/>
      <c r="G3761" s="237"/>
      <c r="H3761" s="237"/>
      <c r="I3761" s="237"/>
      <c r="K3761" s="237"/>
      <c r="N3761" s="237"/>
      <c r="O3761" s="237"/>
      <c r="P3761" s="237"/>
      <c r="Q3761" s="237"/>
      <c r="AL3761" s="226"/>
      <c r="AM3761" s="226"/>
    </row>
    <row r="3762" spans="1:39" x14ac:dyDescent="0.25">
      <c r="AA3762" s="237"/>
      <c r="AB3762" s="237"/>
      <c r="AC3762" s="237"/>
      <c r="AD3762" s="237"/>
      <c r="AE3762" s="237"/>
      <c r="AF3762" s="237"/>
      <c r="AG3762" s="237"/>
      <c r="AH3762" s="237"/>
      <c r="AJ3762" s="238"/>
    </row>
    <row r="3763" spans="1:39" ht="12.75" x14ac:dyDescent="0.2">
      <c r="AL3763" s="226"/>
      <c r="AM3763" s="226"/>
    </row>
    <row r="3764" spans="1:39" ht="12.75" x14ac:dyDescent="0.2">
      <c r="A3764" s="236"/>
      <c r="B3764" s="236"/>
      <c r="C3764" s="236"/>
      <c r="D3764" s="236"/>
      <c r="E3764" s="237"/>
      <c r="G3764" s="237"/>
      <c r="H3764" s="237"/>
      <c r="I3764" s="237"/>
      <c r="K3764" s="237"/>
      <c r="N3764" s="237"/>
      <c r="O3764" s="237"/>
      <c r="P3764" s="237"/>
      <c r="Q3764" s="237"/>
      <c r="AL3764" s="226"/>
      <c r="AM3764" s="226"/>
    </row>
    <row r="3765" spans="1:39" x14ac:dyDescent="0.25">
      <c r="AA3765" s="237"/>
      <c r="AB3765" s="237"/>
      <c r="AC3765" s="237"/>
      <c r="AD3765" s="237"/>
      <c r="AE3765" s="237"/>
      <c r="AF3765" s="237"/>
      <c r="AG3765" s="237"/>
      <c r="AH3765" s="237"/>
      <c r="AJ3765" s="238"/>
    </row>
    <row r="3766" spans="1:39" ht="12.75" x14ac:dyDescent="0.2">
      <c r="AL3766" s="226"/>
      <c r="AM3766" s="226"/>
    </row>
    <row r="3767" spans="1:39" ht="12.75" x14ac:dyDescent="0.2">
      <c r="A3767" s="236"/>
      <c r="B3767" s="236"/>
      <c r="C3767" s="236"/>
      <c r="D3767" s="236"/>
      <c r="E3767" s="237"/>
      <c r="G3767" s="237"/>
      <c r="H3767" s="237"/>
      <c r="I3767" s="237"/>
      <c r="K3767" s="237"/>
      <c r="N3767" s="237"/>
      <c r="O3767" s="237"/>
      <c r="P3767" s="237"/>
      <c r="Q3767" s="237"/>
      <c r="AL3767" s="226"/>
      <c r="AM3767" s="226"/>
    </row>
    <row r="3768" spans="1:39" x14ac:dyDescent="0.25">
      <c r="AA3768" s="237"/>
      <c r="AB3768" s="237"/>
      <c r="AC3768" s="237"/>
      <c r="AD3768" s="237"/>
      <c r="AE3768" s="237"/>
      <c r="AF3768" s="237"/>
      <c r="AG3768" s="237"/>
      <c r="AH3768" s="237"/>
      <c r="AJ3768" s="238"/>
    </row>
    <row r="3769" spans="1:39" ht="12.75" x14ac:dyDescent="0.2">
      <c r="AL3769" s="226"/>
      <c r="AM3769" s="226"/>
    </row>
    <row r="3770" spans="1:39" ht="12.75" x14ac:dyDescent="0.2">
      <c r="A3770" s="236"/>
      <c r="B3770" s="236"/>
      <c r="C3770" s="236"/>
      <c r="D3770" s="236"/>
      <c r="E3770" s="237"/>
      <c r="G3770" s="237"/>
      <c r="H3770" s="237"/>
      <c r="I3770" s="237"/>
      <c r="K3770" s="237"/>
      <c r="N3770" s="237"/>
      <c r="O3770" s="237"/>
      <c r="P3770" s="237"/>
      <c r="Q3770" s="237"/>
      <c r="AL3770" s="226"/>
      <c r="AM3770" s="226"/>
    </row>
    <row r="3771" spans="1:39" x14ac:dyDescent="0.25">
      <c r="AA3771" s="237"/>
      <c r="AB3771" s="237"/>
      <c r="AC3771" s="237"/>
      <c r="AD3771" s="237"/>
      <c r="AE3771" s="237"/>
      <c r="AF3771" s="237"/>
      <c r="AG3771" s="237"/>
      <c r="AH3771" s="237"/>
      <c r="AJ3771" s="238"/>
    </row>
    <row r="3772" spans="1:39" x14ac:dyDescent="0.25">
      <c r="AA3772" s="237"/>
      <c r="AB3772" s="237"/>
      <c r="AC3772" s="237"/>
      <c r="AD3772" s="237"/>
      <c r="AE3772" s="237"/>
      <c r="AF3772" s="237"/>
      <c r="AG3772" s="237"/>
      <c r="AH3772" s="237"/>
      <c r="AJ3772" s="238"/>
    </row>
    <row r="3773" spans="1:39" x14ac:dyDescent="0.25">
      <c r="AA3773" s="237"/>
      <c r="AB3773" s="237"/>
      <c r="AC3773" s="237"/>
      <c r="AD3773" s="237"/>
      <c r="AE3773" s="237"/>
      <c r="AF3773" s="237"/>
      <c r="AG3773" s="237"/>
      <c r="AH3773" s="237"/>
      <c r="AJ3773" s="238"/>
    </row>
    <row r="3774" spans="1:39" ht="12.75" x14ac:dyDescent="0.2">
      <c r="AL3774" s="226"/>
      <c r="AM3774" s="226"/>
    </row>
    <row r="3775" spans="1:39" ht="12.75" x14ac:dyDescent="0.2">
      <c r="A3775" s="236"/>
      <c r="B3775" s="236"/>
      <c r="C3775" s="236"/>
      <c r="D3775" s="236"/>
      <c r="E3775" s="237"/>
      <c r="G3775" s="237"/>
      <c r="H3775" s="237"/>
      <c r="I3775" s="237"/>
      <c r="K3775" s="237"/>
      <c r="N3775" s="237"/>
      <c r="O3775" s="237"/>
      <c r="P3775" s="237"/>
      <c r="Q3775" s="237"/>
      <c r="AL3775" s="226"/>
      <c r="AM3775" s="226"/>
    </row>
    <row r="3776" spans="1:39" x14ac:dyDescent="0.25">
      <c r="AA3776" s="237"/>
      <c r="AB3776" s="237"/>
      <c r="AC3776" s="237"/>
      <c r="AD3776" s="237"/>
      <c r="AE3776" s="237"/>
      <c r="AF3776" s="237"/>
      <c r="AG3776" s="237"/>
      <c r="AH3776" s="237"/>
      <c r="AJ3776" s="238"/>
    </row>
    <row r="3777" spans="1:39" ht="12.75" x14ac:dyDescent="0.2">
      <c r="AL3777" s="226"/>
      <c r="AM3777" s="226"/>
    </row>
    <row r="3778" spans="1:39" ht="12.75" x14ac:dyDescent="0.2">
      <c r="A3778" s="236"/>
      <c r="B3778" s="236"/>
      <c r="C3778" s="236"/>
      <c r="D3778" s="236"/>
      <c r="E3778" s="237"/>
      <c r="G3778" s="237"/>
      <c r="H3778" s="237"/>
      <c r="I3778" s="237"/>
      <c r="K3778" s="237"/>
      <c r="N3778" s="237"/>
      <c r="O3778" s="237"/>
      <c r="P3778" s="237"/>
      <c r="Q3778" s="237"/>
      <c r="AL3778" s="226"/>
      <c r="AM3778" s="226"/>
    </row>
    <row r="3779" spans="1:39" x14ac:dyDescent="0.25">
      <c r="AA3779" s="237"/>
      <c r="AB3779" s="237"/>
      <c r="AC3779" s="237"/>
      <c r="AD3779" s="237"/>
      <c r="AE3779" s="237"/>
      <c r="AF3779" s="237"/>
      <c r="AG3779" s="237"/>
      <c r="AH3779" s="237"/>
      <c r="AJ3779" s="238"/>
    </row>
    <row r="3780" spans="1:39" ht="12.75" x14ac:dyDescent="0.2">
      <c r="AL3780" s="226"/>
      <c r="AM3780" s="226"/>
    </row>
    <row r="3781" spans="1:39" ht="12.75" x14ac:dyDescent="0.2">
      <c r="A3781" s="236"/>
      <c r="B3781" s="236"/>
      <c r="C3781" s="236"/>
      <c r="D3781" s="236"/>
      <c r="E3781" s="237"/>
      <c r="G3781" s="237"/>
      <c r="H3781" s="237"/>
      <c r="I3781" s="237"/>
      <c r="K3781" s="237"/>
      <c r="N3781" s="237"/>
      <c r="O3781" s="237"/>
      <c r="P3781" s="237"/>
      <c r="Q3781" s="237"/>
      <c r="AL3781" s="226"/>
      <c r="AM3781" s="226"/>
    </row>
    <row r="3782" spans="1:39" x14ac:dyDescent="0.25">
      <c r="AA3782" s="237"/>
      <c r="AB3782" s="237"/>
      <c r="AC3782" s="237"/>
      <c r="AD3782" s="237"/>
      <c r="AE3782" s="237"/>
      <c r="AF3782" s="237"/>
      <c r="AG3782" s="237"/>
      <c r="AH3782" s="237"/>
      <c r="AJ3782" s="238"/>
    </row>
    <row r="3783" spans="1:39" x14ac:dyDescent="0.25">
      <c r="AA3783" s="237"/>
      <c r="AB3783" s="237"/>
      <c r="AC3783" s="237"/>
      <c r="AD3783" s="237"/>
      <c r="AE3783" s="237"/>
      <c r="AF3783" s="237"/>
      <c r="AG3783" s="237"/>
      <c r="AH3783" s="237"/>
      <c r="AJ3783" s="238"/>
    </row>
    <row r="3784" spans="1:39" ht="12.75" x14ac:dyDescent="0.2">
      <c r="AL3784" s="226"/>
      <c r="AM3784" s="226"/>
    </row>
    <row r="3785" spans="1:39" ht="12.75" x14ac:dyDescent="0.2">
      <c r="A3785" s="236"/>
      <c r="B3785" s="236"/>
      <c r="C3785" s="236"/>
      <c r="D3785" s="236"/>
      <c r="E3785" s="237"/>
      <c r="G3785" s="237"/>
      <c r="H3785" s="237"/>
      <c r="I3785" s="237"/>
      <c r="K3785" s="237"/>
      <c r="N3785" s="237"/>
      <c r="O3785" s="237"/>
      <c r="P3785" s="237"/>
      <c r="Q3785" s="237"/>
      <c r="AL3785" s="226"/>
      <c r="AM3785" s="226"/>
    </row>
    <row r="3786" spans="1:39" x14ac:dyDescent="0.25">
      <c r="AA3786" s="237"/>
      <c r="AB3786" s="237"/>
      <c r="AC3786" s="237"/>
      <c r="AD3786" s="237"/>
      <c r="AE3786" s="237"/>
      <c r="AF3786" s="237"/>
      <c r="AG3786" s="237"/>
      <c r="AH3786" s="237"/>
      <c r="AJ3786" s="238"/>
    </row>
    <row r="3787" spans="1:39" x14ac:dyDescent="0.25">
      <c r="AA3787" s="237"/>
      <c r="AB3787" s="237"/>
      <c r="AC3787" s="237"/>
      <c r="AD3787" s="237"/>
      <c r="AE3787" s="237"/>
      <c r="AF3787" s="237"/>
      <c r="AG3787" s="237"/>
      <c r="AH3787" s="237"/>
      <c r="AJ3787" s="238"/>
    </row>
    <row r="3788" spans="1:39" x14ac:dyDescent="0.25">
      <c r="AA3788" s="237"/>
      <c r="AB3788" s="237"/>
      <c r="AC3788" s="237"/>
      <c r="AD3788" s="237"/>
      <c r="AE3788" s="237"/>
      <c r="AF3788" s="237"/>
      <c r="AG3788" s="237"/>
      <c r="AH3788" s="237"/>
      <c r="AJ3788" s="238"/>
    </row>
    <row r="3789" spans="1:39" x14ac:dyDescent="0.25">
      <c r="AA3789" s="237"/>
      <c r="AB3789" s="237"/>
      <c r="AC3789" s="237"/>
      <c r="AD3789" s="237"/>
      <c r="AE3789" s="237"/>
      <c r="AF3789" s="237"/>
      <c r="AG3789" s="237"/>
      <c r="AH3789" s="237"/>
      <c r="AJ3789" s="238"/>
    </row>
    <row r="3790" spans="1:39" ht="12.75" x14ac:dyDescent="0.2">
      <c r="AL3790" s="226"/>
      <c r="AM3790" s="226"/>
    </row>
    <row r="3791" spans="1:39" ht="12.75" x14ac:dyDescent="0.2">
      <c r="A3791" s="236"/>
      <c r="B3791" s="236"/>
      <c r="C3791" s="236"/>
      <c r="D3791" s="236"/>
      <c r="E3791" s="237"/>
      <c r="G3791" s="237"/>
      <c r="H3791" s="237"/>
      <c r="I3791" s="237"/>
      <c r="K3791" s="237"/>
      <c r="N3791" s="237"/>
      <c r="O3791" s="237"/>
      <c r="P3791" s="237"/>
      <c r="Q3791" s="237"/>
      <c r="AL3791" s="226"/>
      <c r="AM3791" s="226"/>
    </row>
    <row r="3792" spans="1:39" x14ac:dyDescent="0.25">
      <c r="AA3792" s="237"/>
      <c r="AB3792" s="237"/>
      <c r="AC3792" s="237"/>
      <c r="AD3792" s="237"/>
      <c r="AE3792" s="237"/>
      <c r="AF3792" s="237"/>
      <c r="AG3792" s="237"/>
      <c r="AH3792" s="237"/>
      <c r="AJ3792" s="238"/>
    </row>
    <row r="3793" spans="1:39" x14ac:dyDescent="0.25">
      <c r="AA3793" s="237"/>
      <c r="AB3793" s="237"/>
      <c r="AC3793" s="237"/>
      <c r="AD3793" s="237"/>
      <c r="AE3793" s="237"/>
      <c r="AF3793" s="237"/>
      <c r="AG3793" s="237"/>
      <c r="AH3793" s="237"/>
      <c r="AJ3793" s="238"/>
    </row>
    <row r="3794" spans="1:39" x14ac:dyDescent="0.25">
      <c r="AA3794" s="237"/>
      <c r="AB3794" s="237"/>
      <c r="AC3794" s="237"/>
      <c r="AD3794" s="237"/>
      <c r="AE3794" s="237"/>
      <c r="AF3794" s="237"/>
      <c r="AG3794" s="237"/>
      <c r="AH3794" s="237"/>
      <c r="AJ3794" s="238"/>
    </row>
    <row r="3795" spans="1:39" x14ac:dyDescent="0.25">
      <c r="AA3795" s="237"/>
      <c r="AB3795" s="237"/>
      <c r="AC3795" s="237"/>
      <c r="AD3795" s="237"/>
      <c r="AE3795" s="237"/>
      <c r="AF3795" s="237"/>
      <c r="AG3795" s="237"/>
      <c r="AH3795" s="237"/>
      <c r="AJ3795" s="238"/>
    </row>
    <row r="3796" spans="1:39" ht="12.75" x14ac:dyDescent="0.2">
      <c r="AL3796" s="226"/>
      <c r="AM3796" s="226"/>
    </row>
    <row r="3797" spans="1:39" ht="12.75" x14ac:dyDescent="0.2">
      <c r="A3797" s="236"/>
      <c r="B3797" s="236"/>
      <c r="C3797" s="236"/>
      <c r="D3797" s="236"/>
      <c r="E3797" s="237"/>
      <c r="G3797" s="237"/>
      <c r="H3797" s="237"/>
      <c r="I3797" s="237"/>
      <c r="K3797" s="237"/>
      <c r="N3797" s="237"/>
      <c r="O3797" s="237"/>
      <c r="P3797" s="237"/>
      <c r="Q3797" s="237"/>
      <c r="AL3797" s="226"/>
      <c r="AM3797" s="226"/>
    </row>
    <row r="3798" spans="1:39" x14ac:dyDescent="0.25">
      <c r="AA3798" s="237"/>
      <c r="AB3798" s="237"/>
      <c r="AC3798" s="237"/>
      <c r="AD3798" s="237"/>
      <c r="AE3798" s="237"/>
      <c r="AF3798" s="237"/>
      <c r="AG3798" s="237"/>
      <c r="AH3798" s="237"/>
      <c r="AJ3798" s="238"/>
    </row>
    <row r="3799" spans="1:39" x14ac:dyDescent="0.25">
      <c r="AA3799" s="237"/>
      <c r="AB3799" s="237"/>
      <c r="AC3799" s="237"/>
      <c r="AD3799" s="237"/>
      <c r="AE3799" s="237"/>
      <c r="AF3799" s="237"/>
      <c r="AG3799" s="237"/>
      <c r="AH3799" s="237"/>
      <c r="AJ3799" s="238"/>
    </row>
    <row r="3800" spans="1:39" x14ac:dyDescent="0.25">
      <c r="AA3800" s="237"/>
      <c r="AB3800" s="237"/>
      <c r="AC3800" s="237"/>
      <c r="AD3800" s="237"/>
      <c r="AE3800" s="237"/>
      <c r="AF3800" s="237"/>
      <c r="AG3800" s="237"/>
      <c r="AH3800" s="237"/>
      <c r="AJ3800" s="238"/>
    </row>
    <row r="3801" spans="1:39" x14ac:dyDescent="0.25">
      <c r="AA3801" s="237"/>
      <c r="AB3801" s="237"/>
      <c r="AC3801" s="237"/>
      <c r="AD3801" s="237"/>
      <c r="AE3801" s="237"/>
      <c r="AF3801" s="237"/>
      <c r="AG3801" s="237"/>
      <c r="AH3801" s="237"/>
      <c r="AJ3801" s="238"/>
    </row>
    <row r="3802" spans="1:39" ht="12.75" x14ac:dyDescent="0.2">
      <c r="AL3802" s="226"/>
      <c r="AM3802" s="226"/>
    </row>
    <row r="3803" spans="1:39" ht="12.75" x14ac:dyDescent="0.2">
      <c r="A3803" s="236"/>
      <c r="B3803" s="236"/>
      <c r="C3803" s="236"/>
      <c r="D3803" s="236"/>
      <c r="E3803" s="237"/>
      <c r="G3803" s="237"/>
      <c r="H3803" s="237"/>
      <c r="I3803" s="237"/>
      <c r="K3803" s="237"/>
      <c r="N3803" s="237"/>
      <c r="O3803" s="237"/>
      <c r="P3803" s="237"/>
      <c r="Q3803" s="237"/>
      <c r="AL3803" s="226"/>
      <c r="AM3803" s="226"/>
    </row>
    <row r="3804" spans="1:39" x14ac:dyDescent="0.25">
      <c r="AA3804" s="237"/>
      <c r="AB3804" s="237"/>
      <c r="AC3804" s="237"/>
      <c r="AD3804" s="237"/>
      <c r="AE3804" s="237"/>
      <c r="AF3804" s="237"/>
      <c r="AG3804" s="237"/>
      <c r="AH3804" s="237"/>
      <c r="AJ3804" s="238"/>
    </row>
    <row r="3805" spans="1:39" ht="12.75" x14ac:dyDescent="0.2">
      <c r="AL3805" s="226"/>
      <c r="AM3805" s="226"/>
    </row>
    <row r="3806" spans="1:39" ht="12.75" x14ac:dyDescent="0.2">
      <c r="A3806" s="236"/>
      <c r="B3806" s="236"/>
      <c r="C3806" s="236"/>
      <c r="D3806" s="236"/>
      <c r="E3806" s="237"/>
      <c r="G3806" s="237"/>
      <c r="H3806" s="237"/>
      <c r="I3806" s="237"/>
      <c r="K3806" s="237"/>
      <c r="N3806" s="237"/>
      <c r="O3806" s="237"/>
      <c r="P3806" s="237"/>
      <c r="Q3806" s="237"/>
      <c r="AL3806" s="226"/>
      <c r="AM3806" s="226"/>
    </row>
    <row r="3807" spans="1:39" x14ac:dyDescent="0.25">
      <c r="AA3807" s="237"/>
      <c r="AB3807" s="237"/>
      <c r="AC3807" s="237"/>
      <c r="AD3807" s="237"/>
      <c r="AE3807" s="237"/>
      <c r="AF3807" s="237"/>
      <c r="AG3807" s="237"/>
      <c r="AH3807" s="237"/>
      <c r="AJ3807" s="238"/>
    </row>
    <row r="3808" spans="1:39" x14ac:dyDescent="0.25">
      <c r="AA3808" s="237"/>
      <c r="AB3808" s="237"/>
      <c r="AC3808" s="237"/>
      <c r="AD3808" s="237"/>
      <c r="AE3808" s="237"/>
      <c r="AF3808" s="237"/>
      <c r="AG3808" s="237"/>
      <c r="AH3808" s="237"/>
      <c r="AJ3808" s="238"/>
    </row>
    <row r="3809" spans="1:39" ht="12.75" x14ac:dyDescent="0.2">
      <c r="AL3809" s="226"/>
      <c r="AM3809" s="226"/>
    </row>
    <row r="3810" spans="1:39" ht="12.75" x14ac:dyDescent="0.2">
      <c r="A3810" s="236"/>
      <c r="B3810" s="236"/>
      <c r="C3810" s="236"/>
      <c r="D3810" s="236"/>
      <c r="E3810" s="237"/>
      <c r="G3810" s="237"/>
      <c r="H3810" s="237"/>
      <c r="I3810" s="237"/>
      <c r="K3810" s="237"/>
      <c r="N3810" s="237"/>
      <c r="O3810" s="237"/>
      <c r="P3810" s="237"/>
      <c r="Q3810" s="237"/>
      <c r="AL3810" s="226"/>
      <c r="AM3810" s="226"/>
    </row>
    <row r="3811" spans="1:39" x14ac:dyDescent="0.25">
      <c r="AA3811" s="237"/>
      <c r="AB3811" s="237"/>
      <c r="AC3811" s="237"/>
      <c r="AD3811" s="237"/>
      <c r="AE3811" s="237"/>
      <c r="AF3811" s="237"/>
      <c r="AG3811" s="237"/>
      <c r="AH3811" s="237"/>
      <c r="AJ3811" s="238"/>
    </row>
    <row r="3812" spans="1:39" x14ac:dyDescent="0.25">
      <c r="AA3812" s="237"/>
      <c r="AB3812" s="237"/>
      <c r="AC3812" s="237"/>
      <c r="AD3812" s="237"/>
      <c r="AE3812" s="237"/>
      <c r="AF3812" s="237"/>
      <c r="AG3812" s="237"/>
      <c r="AH3812" s="237"/>
      <c r="AJ3812" s="238"/>
    </row>
    <row r="3813" spans="1:39" ht="12.75" x14ac:dyDescent="0.2">
      <c r="AL3813" s="226"/>
      <c r="AM3813" s="226"/>
    </row>
    <row r="3814" spans="1:39" ht="12.75" x14ac:dyDescent="0.2">
      <c r="A3814" s="236"/>
      <c r="B3814" s="236"/>
      <c r="C3814" s="236"/>
      <c r="D3814" s="236"/>
      <c r="E3814" s="237"/>
      <c r="G3814" s="237"/>
      <c r="H3814" s="237"/>
      <c r="I3814" s="237"/>
      <c r="K3814" s="237"/>
      <c r="N3814" s="237"/>
      <c r="O3814" s="237"/>
      <c r="P3814" s="237"/>
      <c r="Q3814" s="237"/>
      <c r="AL3814" s="226"/>
      <c r="AM3814" s="226"/>
    </row>
    <row r="3815" spans="1:39" x14ac:dyDescent="0.25">
      <c r="AA3815" s="237"/>
      <c r="AB3815" s="237"/>
      <c r="AC3815" s="237"/>
      <c r="AD3815" s="237"/>
      <c r="AE3815" s="237"/>
      <c r="AF3815" s="237"/>
      <c r="AG3815" s="237"/>
      <c r="AH3815" s="237"/>
      <c r="AJ3815" s="238"/>
    </row>
    <row r="3816" spans="1:39" ht="12.75" x14ac:dyDescent="0.2">
      <c r="AL3816" s="226"/>
      <c r="AM3816" s="226"/>
    </row>
    <row r="3817" spans="1:39" ht="12.75" x14ac:dyDescent="0.2">
      <c r="A3817" s="236"/>
      <c r="B3817" s="236"/>
      <c r="C3817" s="236"/>
      <c r="D3817" s="236"/>
      <c r="E3817" s="237"/>
      <c r="G3817" s="237"/>
      <c r="H3817" s="237"/>
      <c r="I3817" s="237"/>
      <c r="K3817" s="237"/>
      <c r="N3817" s="237"/>
      <c r="O3817" s="237"/>
      <c r="P3817" s="237"/>
      <c r="Q3817" s="237"/>
      <c r="AL3817" s="226"/>
      <c r="AM3817" s="226"/>
    </row>
    <row r="3818" spans="1:39" x14ac:dyDescent="0.25">
      <c r="AA3818" s="237"/>
      <c r="AB3818" s="237"/>
      <c r="AC3818" s="237"/>
      <c r="AD3818" s="237"/>
      <c r="AE3818" s="237"/>
      <c r="AF3818" s="237"/>
      <c r="AG3818" s="237"/>
      <c r="AH3818" s="237"/>
      <c r="AJ3818" s="238"/>
    </row>
    <row r="3819" spans="1:39" x14ac:dyDescent="0.25">
      <c r="AA3819" s="237"/>
      <c r="AB3819" s="237"/>
      <c r="AC3819" s="237"/>
      <c r="AD3819" s="237"/>
      <c r="AE3819" s="237"/>
      <c r="AF3819" s="237"/>
      <c r="AG3819" s="237"/>
      <c r="AH3819" s="237"/>
      <c r="AJ3819" s="238"/>
    </row>
    <row r="3820" spans="1:39" ht="12.75" x14ac:dyDescent="0.2">
      <c r="AL3820" s="226"/>
      <c r="AM3820" s="226"/>
    </row>
    <row r="3821" spans="1:39" ht="12.75" x14ac:dyDescent="0.2">
      <c r="A3821" s="236"/>
      <c r="B3821" s="236"/>
      <c r="C3821" s="236"/>
      <c r="D3821" s="236"/>
      <c r="E3821" s="237"/>
      <c r="G3821" s="237"/>
      <c r="H3821" s="237"/>
      <c r="I3821" s="237"/>
      <c r="K3821" s="237"/>
      <c r="N3821" s="237"/>
      <c r="O3821" s="237"/>
      <c r="P3821" s="237"/>
      <c r="Q3821" s="237"/>
      <c r="AL3821" s="226"/>
      <c r="AM3821" s="226"/>
    </row>
    <row r="3822" spans="1:39" x14ac:dyDescent="0.25">
      <c r="AA3822" s="237"/>
      <c r="AB3822" s="237"/>
      <c r="AC3822" s="237"/>
      <c r="AD3822" s="237"/>
      <c r="AE3822" s="237"/>
      <c r="AF3822" s="237"/>
      <c r="AG3822" s="237"/>
      <c r="AH3822" s="237"/>
      <c r="AJ3822" s="238"/>
    </row>
    <row r="3823" spans="1:39" x14ac:dyDescent="0.25">
      <c r="AA3823" s="237"/>
      <c r="AB3823" s="237"/>
      <c r="AC3823" s="237"/>
      <c r="AD3823" s="237"/>
      <c r="AE3823" s="237"/>
      <c r="AF3823" s="237"/>
      <c r="AG3823" s="237"/>
      <c r="AH3823" s="237"/>
      <c r="AJ3823" s="238"/>
    </row>
    <row r="3824" spans="1:39" ht="12.75" x14ac:dyDescent="0.2">
      <c r="AL3824" s="226"/>
      <c r="AM3824" s="226"/>
    </row>
    <row r="3825" spans="1:39" ht="12.75" x14ac:dyDescent="0.2">
      <c r="A3825" s="236"/>
      <c r="B3825" s="236"/>
      <c r="C3825" s="236"/>
      <c r="D3825" s="236"/>
      <c r="E3825" s="237"/>
      <c r="G3825" s="237"/>
      <c r="H3825" s="237"/>
      <c r="I3825" s="237"/>
      <c r="K3825" s="237"/>
      <c r="N3825" s="237"/>
      <c r="O3825" s="237"/>
      <c r="P3825" s="237"/>
      <c r="Q3825" s="237"/>
      <c r="AL3825" s="226"/>
      <c r="AM3825" s="226"/>
    </row>
    <row r="3826" spans="1:39" x14ac:dyDescent="0.25">
      <c r="AA3826" s="237"/>
      <c r="AB3826" s="237"/>
      <c r="AC3826" s="237"/>
      <c r="AD3826" s="237"/>
      <c r="AE3826" s="237"/>
      <c r="AF3826" s="237"/>
      <c r="AG3826" s="237"/>
      <c r="AH3826" s="237"/>
      <c r="AJ3826" s="238"/>
    </row>
    <row r="3827" spans="1:39" x14ac:dyDescent="0.25">
      <c r="AA3827" s="237"/>
      <c r="AB3827" s="237"/>
      <c r="AC3827" s="237"/>
      <c r="AD3827" s="237"/>
      <c r="AE3827" s="237"/>
      <c r="AF3827" s="237"/>
      <c r="AG3827" s="237"/>
      <c r="AH3827" s="237"/>
      <c r="AJ3827" s="238"/>
    </row>
    <row r="3828" spans="1:39" x14ac:dyDescent="0.25">
      <c r="AA3828" s="237"/>
      <c r="AB3828" s="237"/>
      <c r="AC3828" s="237"/>
      <c r="AD3828" s="237"/>
      <c r="AE3828" s="237"/>
      <c r="AF3828" s="237"/>
      <c r="AG3828" s="237"/>
      <c r="AH3828" s="237"/>
      <c r="AJ3828" s="238"/>
    </row>
    <row r="3829" spans="1:39" x14ac:dyDescent="0.25">
      <c r="AA3829" s="237"/>
      <c r="AB3829" s="237"/>
      <c r="AC3829" s="237"/>
      <c r="AD3829" s="237"/>
      <c r="AE3829" s="237"/>
      <c r="AF3829" s="237"/>
      <c r="AG3829" s="237"/>
      <c r="AH3829" s="237"/>
      <c r="AJ3829" s="238"/>
    </row>
    <row r="3830" spans="1:39" ht="12.75" x14ac:dyDescent="0.2">
      <c r="AL3830" s="226"/>
      <c r="AM3830" s="226"/>
    </row>
    <row r="3831" spans="1:39" ht="12.75" x14ac:dyDescent="0.2">
      <c r="A3831" s="236"/>
      <c r="B3831" s="236"/>
      <c r="C3831" s="236"/>
      <c r="D3831" s="236"/>
      <c r="E3831" s="237"/>
      <c r="G3831" s="237"/>
      <c r="H3831" s="237"/>
      <c r="I3831" s="237"/>
      <c r="K3831" s="237"/>
      <c r="N3831" s="237"/>
      <c r="O3831" s="237"/>
      <c r="P3831" s="237"/>
      <c r="Q3831" s="237"/>
      <c r="AL3831" s="226"/>
      <c r="AM3831" s="226"/>
    </row>
    <row r="3832" spans="1:39" x14ac:dyDescent="0.25">
      <c r="AA3832" s="237"/>
      <c r="AB3832" s="237"/>
      <c r="AC3832" s="237"/>
      <c r="AD3832" s="237"/>
      <c r="AE3832" s="237"/>
      <c r="AF3832" s="237"/>
      <c r="AG3832" s="237"/>
      <c r="AH3832" s="237"/>
      <c r="AJ3832" s="238"/>
    </row>
    <row r="3833" spans="1:39" ht="12.75" x14ac:dyDescent="0.2">
      <c r="AL3833" s="226"/>
      <c r="AM3833" s="226"/>
    </row>
    <row r="3834" spans="1:39" ht="12.75" x14ac:dyDescent="0.2">
      <c r="A3834" s="236"/>
      <c r="B3834" s="236"/>
      <c r="C3834" s="236"/>
      <c r="D3834" s="236"/>
      <c r="E3834" s="237"/>
      <c r="G3834" s="237"/>
      <c r="H3834" s="237"/>
      <c r="I3834" s="237"/>
      <c r="K3834" s="237"/>
      <c r="N3834" s="237"/>
      <c r="O3834" s="237"/>
      <c r="P3834" s="237"/>
      <c r="Q3834" s="237"/>
      <c r="AL3834" s="226"/>
      <c r="AM3834" s="226"/>
    </row>
    <row r="3835" spans="1:39" x14ac:dyDescent="0.25">
      <c r="AA3835" s="237"/>
      <c r="AB3835" s="237"/>
      <c r="AC3835" s="237"/>
      <c r="AD3835" s="237"/>
      <c r="AE3835" s="237"/>
      <c r="AF3835" s="237"/>
      <c r="AG3835" s="237"/>
      <c r="AH3835" s="237"/>
      <c r="AJ3835" s="238"/>
    </row>
    <row r="3836" spans="1:39" ht="12.75" x14ac:dyDescent="0.2">
      <c r="AL3836" s="226"/>
      <c r="AM3836" s="226"/>
    </row>
    <row r="3837" spans="1:39" ht="12.75" x14ac:dyDescent="0.2">
      <c r="A3837" s="236"/>
      <c r="B3837" s="236"/>
      <c r="C3837" s="236"/>
      <c r="D3837" s="236"/>
      <c r="E3837" s="237"/>
      <c r="G3837" s="237"/>
      <c r="H3837" s="237"/>
      <c r="I3837" s="237"/>
      <c r="K3837" s="237"/>
      <c r="N3837" s="237"/>
      <c r="O3837" s="237"/>
      <c r="P3837" s="237"/>
      <c r="Q3837" s="237"/>
      <c r="AL3837" s="226"/>
      <c r="AM3837" s="226"/>
    </row>
    <row r="3838" spans="1:39" x14ac:dyDescent="0.25">
      <c r="AA3838" s="237"/>
      <c r="AB3838" s="237"/>
      <c r="AC3838" s="237"/>
      <c r="AD3838" s="237"/>
      <c r="AE3838" s="237"/>
      <c r="AF3838" s="237"/>
      <c r="AG3838" s="237"/>
      <c r="AH3838" s="237"/>
      <c r="AJ3838" s="238"/>
    </row>
    <row r="3839" spans="1:39" x14ac:dyDescent="0.25">
      <c r="AA3839" s="237"/>
      <c r="AB3839" s="237"/>
      <c r="AC3839" s="237"/>
      <c r="AD3839" s="237"/>
      <c r="AE3839" s="237"/>
      <c r="AF3839" s="237"/>
      <c r="AG3839" s="237"/>
      <c r="AH3839" s="237"/>
      <c r="AJ3839" s="238"/>
    </row>
    <row r="3840" spans="1:39" x14ac:dyDescent="0.25">
      <c r="AA3840" s="237"/>
      <c r="AB3840" s="237"/>
      <c r="AC3840" s="237"/>
      <c r="AD3840" s="237"/>
      <c r="AE3840" s="237"/>
      <c r="AF3840" s="237"/>
      <c r="AG3840" s="237"/>
      <c r="AH3840" s="237"/>
      <c r="AJ3840" s="238"/>
    </row>
    <row r="3841" spans="1:39" x14ac:dyDescent="0.25">
      <c r="AA3841" s="237"/>
      <c r="AB3841" s="237"/>
      <c r="AC3841" s="237"/>
      <c r="AD3841" s="237"/>
      <c r="AE3841" s="237"/>
      <c r="AF3841" s="237"/>
      <c r="AG3841" s="237"/>
      <c r="AH3841" s="237"/>
      <c r="AJ3841" s="238"/>
    </row>
    <row r="3842" spans="1:39" ht="12.75" x14ac:dyDescent="0.2">
      <c r="AL3842" s="226"/>
      <c r="AM3842" s="226"/>
    </row>
    <row r="3843" spans="1:39" ht="12.75" x14ac:dyDescent="0.2">
      <c r="A3843" s="236"/>
      <c r="B3843" s="236"/>
      <c r="C3843" s="236"/>
      <c r="D3843" s="236"/>
      <c r="E3843" s="237"/>
      <c r="G3843" s="237"/>
      <c r="H3843" s="237"/>
      <c r="I3843" s="237"/>
      <c r="K3843" s="237"/>
      <c r="N3843" s="237"/>
      <c r="O3843" s="237"/>
      <c r="P3843" s="237"/>
      <c r="Q3843" s="237"/>
      <c r="AL3843" s="226"/>
      <c r="AM3843" s="226"/>
    </row>
    <row r="3844" spans="1:39" x14ac:dyDescent="0.25">
      <c r="AA3844" s="237"/>
      <c r="AB3844" s="237"/>
      <c r="AC3844" s="237"/>
      <c r="AD3844" s="237"/>
      <c r="AE3844" s="237"/>
      <c r="AF3844" s="237"/>
      <c r="AG3844" s="237"/>
      <c r="AH3844" s="237"/>
      <c r="AJ3844" s="238"/>
    </row>
    <row r="3845" spans="1:39" x14ac:dyDescent="0.25">
      <c r="AA3845" s="237"/>
      <c r="AB3845" s="237"/>
      <c r="AC3845" s="237"/>
      <c r="AD3845" s="237"/>
      <c r="AE3845" s="237"/>
      <c r="AF3845" s="237"/>
      <c r="AG3845" s="237"/>
      <c r="AH3845" s="237"/>
      <c r="AJ3845" s="238"/>
    </row>
    <row r="3846" spans="1:39" x14ac:dyDescent="0.25">
      <c r="AA3846" s="237"/>
      <c r="AB3846" s="237"/>
      <c r="AC3846" s="237"/>
      <c r="AD3846" s="237"/>
      <c r="AE3846" s="237"/>
      <c r="AF3846" s="237"/>
      <c r="AG3846" s="237"/>
      <c r="AH3846" s="237"/>
      <c r="AJ3846" s="238"/>
    </row>
    <row r="3847" spans="1:39" x14ac:dyDescent="0.25">
      <c r="AA3847" s="237"/>
      <c r="AB3847" s="237"/>
      <c r="AC3847" s="237"/>
      <c r="AD3847" s="237"/>
      <c r="AE3847" s="237"/>
      <c r="AF3847" s="237"/>
      <c r="AG3847" s="237"/>
      <c r="AH3847" s="237"/>
      <c r="AJ3847" s="238"/>
    </row>
    <row r="3848" spans="1:39" x14ac:dyDescent="0.25">
      <c r="AA3848" s="237"/>
      <c r="AB3848" s="237"/>
      <c r="AC3848" s="237"/>
      <c r="AD3848" s="237"/>
      <c r="AE3848" s="237"/>
      <c r="AF3848" s="237"/>
      <c r="AG3848" s="237"/>
      <c r="AH3848" s="237"/>
      <c r="AJ3848" s="238"/>
    </row>
    <row r="3849" spans="1:39" ht="12.75" x14ac:dyDescent="0.2">
      <c r="AL3849" s="226"/>
      <c r="AM3849" s="226"/>
    </row>
    <row r="3850" spans="1:39" ht="12.75" x14ac:dyDescent="0.2">
      <c r="A3850" s="236"/>
      <c r="B3850" s="236"/>
      <c r="C3850" s="236"/>
      <c r="D3850" s="236"/>
      <c r="E3850" s="237"/>
      <c r="G3850" s="237"/>
      <c r="H3850" s="237"/>
      <c r="I3850" s="237"/>
      <c r="K3850" s="237"/>
      <c r="N3850" s="237"/>
      <c r="O3850" s="237"/>
      <c r="P3850" s="237"/>
      <c r="Q3850" s="237"/>
      <c r="AL3850" s="226"/>
      <c r="AM3850" s="226"/>
    </row>
    <row r="3851" spans="1:39" x14ac:dyDescent="0.25">
      <c r="AA3851" s="237"/>
      <c r="AB3851" s="237"/>
      <c r="AC3851" s="237"/>
      <c r="AD3851" s="237"/>
      <c r="AE3851" s="237"/>
      <c r="AF3851" s="237"/>
      <c r="AG3851" s="237"/>
      <c r="AH3851" s="237"/>
      <c r="AJ3851" s="238"/>
    </row>
    <row r="3852" spans="1:39" ht="12.75" x14ac:dyDescent="0.2">
      <c r="AL3852" s="226"/>
      <c r="AM3852" s="226"/>
    </row>
    <row r="3853" spans="1:39" ht="12.75" x14ac:dyDescent="0.2">
      <c r="A3853" s="236"/>
      <c r="B3853" s="236"/>
      <c r="C3853" s="236"/>
      <c r="D3853" s="236"/>
      <c r="E3853" s="237"/>
      <c r="G3853" s="237"/>
      <c r="H3853" s="237"/>
      <c r="I3853" s="237"/>
      <c r="K3853" s="237"/>
      <c r="N3853" s="237"/>
      <c r="O3853" s="237"/>
      <c r="P3853" s="237"/>
      <c r="Q3853" s="237"/>
      <c r="AL3853" s="226"/>
      <c r="AM3853" s="226"/>
    </row>
    <row r="3854" spans="1:39" x14ac:dyDescent="0.25">
      <c r="AA3854" s="237"/>
      <c r="AB3854" s="237"/>
      <c r="AC3854" s="237"/>
      <c r="AD3854" s="237"/>
      <c r="AE3854" s="237"/>
      <c r="AF3854" s="237"/>
      <c r="AG3854" s="237"/>
      <c r="AH3854" s="237"/>
      <c r="AJ3854" s="238"/>
    </row>
    <row r="3855" spans="1:39" ht="12.75" x14ac:dyDescent="0.2">
      <c r="AL3855" s="226"/>
      <c r="AM3855" s="226"/>
    </row>
    <row r="3856" spans="1:39" ht="12.75" x14ac:dyDescent="0.2">
      <c r="A3856" s="236"/>
      <c r="B3856" s="236"/>
      <c r="C3856" s="236"/>
      <c r="D3856" s="236"/>
      <c r="E3856" s="237"/>
      <c r="G3856" s="237"/>
      <c r="H3856" s="237"/>
      <c r="I3856" s="237"/>
      <c r="K3856" s="237"/>
      <c r="N3856" s="237"/>
      <c r="O3856" s="237"/>
      <c r="P3856" s="237"/>
      <c r="Q3856" s="237"/>
      <c r="AL3856" s="226"/>
      <c r="AM3856" s="226"/>
    </row>
    <row r="3857" spans="1:39" x14ac:dyDescent="0.25">
      <c r="AA3857" s="237"/>
      <c r="AB3857" s="237"/>
      <c r="AC3857" s="237"/>
      <c r="AD3857" s="237"/>
      <c r="AE3857" s="237"/>
      <c r="AF3857" s="237"/>
      <c r="AG3857" s="237"/>
      <c r="AH3857" s="237"/>
      <c r="AJ3857" s="238"/>
    </row>
    <row r="3858" spans="1:39" x14ac:dyDescent="0.25">
      <c r="AA3858" s="237"/>
      <c r="AB3858" s="237"/>
      <c r="AC3858" s="237"/>
      <c r="AD3858" s="237"/>
      <c r="AE3858" s="237"/>
      <c r="AF3858" s="237"/>
      <c r="AG3858" s="237"/>
      <c r="AH3858" s="237"/>
      <c r="AJ3858" s="238"/>
    </row>
    <row r="3859" spans="1:39" ht="12.75" x14ac:dyDescent="0.2">
      <c r="AL3859" s="226"/>
      <c r="AM3859" s="226"/>
    </row>
    <row r="3860" spans="1:39" ht="12.75" x14ac:dyDescent="0.2">
      <c r="A3860" s="236"/>
      <c r="B3860" s="236"/>
      <c r="C3860" s="236"/>
      <c r="D3860" s="236"/>
      <c r="E3860" s="237"/>
      <c r="G3860" s="237"/>
      <c r="H3860" s="237"/>
      <c r="I3860" s="237"/>
      <c r="K3860" s="237"/>
      <c r="N3860" s="237"/>
      <c r="O3860" s="237"/>
      <c r="P3860" s="237"/>
      <c r="Q3860" s="237"/>
      <c r="AL3860" s="226"/>
      <c r="AM3860" s="226"/>
    </row>
    <row r="3861" spans="1:39" x14ac:dyDescent="0.25">
      <c r="AA3861" s="237"/>
      <c r="AB3861" s="237"/>
      <c r="AC3861" s="237"/>
      <c r="AD3861" s="237"/>
      <c r="AE3861" s="237"/>
      <c r="AF3861" s="237"/>
      <c r="AG3861" s="237"/>
      <c r="AH3861" s="237"/>
      <c r="AJ3861" s="238"/>
    </row>
    <row r="3862" spans="1:39" x14ac:dyDescent="0.25">
      <c r="AA3862" s="237"/>
      <c r="AB3862" s="237"/>
      <c r="AC3862" s="237"/>
      <c r="AD3862" s="237"/>
      <c r="AE3862" s="237"/>
      <c r="AF3862" s="237"/>
      <c r="AG3862" s="237"/>
      <c r="AH3862" s="237"/>
      <c r="AJ3862" s="238"/>
    </row>
    <row r="3863" spans="1:39" ht="12.75" x14ac:dyDescent="0.2">
      <c r="AL3863" s="226"/>
      <c r="AM3863" s="226"/>
    </row>
    <row r="3864" spans="1:39" ht="12.75" x14ac:dyDescent="0.2">
      <c r="A3864" s="236"/>
      <c r="B3864" s="236"/>
      <c r="C3864" s="236"/>
      <c r="D3864" s="236"/>
      <c r="E3864" s="237"/>
      <c r="G3864" s="237"/>
      <c r="H3864" s="237"/>
      <c r="I3864" s="237"/>
      <c r="K3864" s="237"/>
      <c r="N3864" s="237"/>
      <c r="O3864" s="237"/>
      <c r="P3864" s="237"/>
      <c r="Q3864" s="237"/>
      <c r="AL3864" s="226"/>
      <c r="AM3864" s="226"/>
    </row>
    <row r="3865" spans="1:39" x14ac:dyDescent="0.25">
      <c r="AA3865" s="237"/>
      <c r="AB3865" s="237"/>
      <c r="AC3865" s="237"/>
      <c r="AD3865" s="237"/>
      <c r="AE3865" s="237"/>
      <c r="AF3865" s="237"/>
      <c r="AG3865" s="237"/>
      <c r="AH3865" s="237"/>
      <c r="AJ3865" s="238"/>
    </row>
    <row r="3866" spans="1:39" ht="12.75" x14ac:dyDescent="0.2">
      <c r="AL3866" s="226"/>
      <c r="AM3866" s="226"/>
    </row>
    <row r="3867" spans="1:39" ht="12.75" x14ac:dyDescent="0.2">
      <c r="A3867" s="236"/>
      <c r="B3867" s="236"/>
      <c r="C3867" s="236"/>
      <c r="D3867" s="236"/>
      <c r="E3867" s="237"/>
      <c r="G3867" s="237"/>
      <c r="H3867" s="237"/>
      <c r="I3867" s="237"/>
      <c r="K3867" s="237"/>
      <c r="N3867" s="237"/>
      <c r="O3867" s="237"/>
      <c r="P3867" s="237"/>
      <c r="Q3867" s="237"/>
      <c r="AL3867" s="226"/>
      <c r="AM3867" s="226"/>
    </row>
    <row r="3868" spans="1:39" x14ac:dyDescent="0.25">
      <c r="AA3868" s="237"/>
      <c r="AB3868" s="237"/>
      <c r="AC3868" s="237"/>
      <c r="AD3868" s="237"/>
      <c r="AE3868" s="237"/>
      <c r="AF3868" s="237"/>
      <c r="AG3868" s="237"/>
      <c r="AH3868" s="237"/>
      <c r="AJ3868" s="238"/>
    </row>
    <row r="3869" spans="1:39" x14ac:dyDescent="0.25">
      <c r="AA3869" s="237"/>
      <c r="AB3869" s="237"/>
      <c r="AC3869" s="237"/>
      <c r="AD3869" s="237"/>
      <c r="AE3869" s="237"/>
      <c r="AF3869" s="237"/>
      <c r="AG3869" s="237"/>
      <c r="AH3869" s="237"/>
      <c r="AJ3869" s="238"/>
    </row>
    <row r="3870" spans="1:39" x14ac:dyDescent="0.25">
      <c r="AA3870" s="237"/>
      <c r="AB3870" s="237"/>
      <c r="AC3870" s="237"/>
      <c r="AD3870" s="237"/>
      <c r="AE3870" s="237"/>
      <c r="AF3870" s="237"/>
      <c r="AG3870" s="237"/>
      <c r="AH3870" s="237"/>
      <c r="AJ3870" s="238"/>
    </row>
    <row r="3871" spans="1:39" ht="12.75" x14ac:dyDescent="0.2">
      <c r="AL3871" s="226"/>
      <c r="AM3871" s="226"/>
    </row>
    <row r="3872" spans="1:39" ht="12.75" x14ac:dyDescent="0.2">
      <c r="A3872" s="236"/>
      <c r="B3872" s="236"/>
      <c r="C3872" s="236"/>
      <c r="D3872" s="236"/>
      <c r="E3872" s="237"/>
      <c r="G3872" s="237"/>
      <c r="H3872" s="237"/>
      <c r="I3872" s="237"/>
      <c r="K3872" s="237"/>
      <c r="N3872" s="237"/>
      <c r="O3872" s="237"/>
      <c r="P3872" s="237"/>
      <c r="Q3872" s="237"/>
      <c r="AL3872" s="226"/>
      <c r="AM3872" s="226"/>
    </row>
    <row r="3873" spans="1:39" x14ac:dyDescent="0.25">
      <c r="AA3873" s="237"/>
      <c r="AB3873" s="237"/>
      <c r="AC3873" s="237"/>
      <c r="AD3873" s="237"/>
      <c r="AE3873" s="237"/>
      <c r="AF3873" s="237"/>
      <c r="AG3873" s="237"/>
      <c r="AH3873" s="237"/>
      <c r="AJ3873" s="238"/>
    </row>
    <row r="3874" spans="1:39" x14ac:dyDescent="0.25">
      <c r="AA3874" s="237"/>
      <c r="AB3874" s="237"/>
      <c r="AC3874" s="237"/>
      <c r="AD3874" s="237"/>
      <c r="AE3874" s="237"/>
      <c r="AF3874" s="237"/>
      <c r="AG3874" s="237"/>
      <c r="AH3874" s="237"/>
      <c r="AJ3874" s="238"/>
    </row>
    <row r="3875" spans="1:39" x14ac:dyDescent="0.25">
      <c r="AA3875" s="237"/>
      <c r="AB3875" s="237"/>
      <c r="AC3875" s="237"/>
      <c r="AD3875" s="237"/>
      <c r="AE3875" s="237"/>
      <c r="AF3875" s="237"/>
      <c r="AG3875" s="237"/>
      <c r="AH3875" s="237"/>
      <c r="AJ3875" s="238"/>
    </row>
    <row r="3876" spans="1:39" ht="12.75" x14ac:dyDescent="0.2">
      <c r="AL3876" s="226"/>
      <c r="AM3876" s="226"/>
    </row>
    <row r="3877" spans="1:39" ht="12.75" x14ac:dyDescent="0.2">
      <c r="A3877" s="236"/>
      <c r="B3877" s="236"/>
      <c r="C3877" s="236"/>
      <c r="D3877" s="236"/>
      <c r="E3877" s="237"/>
      <c r="G3877" s="237"/>
      <c r="H3877" s="237"/>
      <c r="I3877" s="237"/>
      <c r="K3877" s="237"/>
      <c r="N3877" s="237"/>
      <c r="O3877" s="237"/>
      <c r="P3877" s="237"/>
      <c r="Q3877" s="237"/>
      <c r="AL3877" s="226"/>
      <c r="AM3877" s="226"/>
    </row>
    <row r="3878" spans="1:39" x14ac:dyDescent="0.25">
      <c r="AA3878" s="237"/>
      <c r="AB3878" s="237"/>
      <c r="AC3878" s="237"/>
      <c r="AD3878" s="237"/>
      <c r="AE3878" s="237"/>
      <c r="AF3878" s="237"/>
      <c r="AG3878" s="237"/>
      <c r="AH3878" s="237"/>
      <c r="AJ3878" s="238"/>
    </row>
    <row r="3879" spans="1:39" ht="12.75" x14ac:dyDescent="0.2">
      <c r="AL3879" s="226"/>
      <c r="AM3879" s="226"/>
    </row>
    <row r="3880" spans="1:39" ht="12.75" x14ac:dyDescent="0.2">
      <c r="A3880" s="236"/>
      <c r="B3880" s="236"/>
      <c r="C3880" s="236"/>
      <c r="D3880" s="236"/>
      <c r="E3880" s="237"/>
      <c r="G3880" s="237"/>
      <c r="H3880" s="237"/>
      <c r="I3880" s="237"/>
      <c r="K3880" s="237"/>
      <c r="N3880" s="237"/>
      <c r="O3880" s="237"/>
      <c r="P3880" s="237"/>
      <c r="Q3880" s="237"/>
      <c r="AL3880" s="226"/>
      <c r="AM3880" s="226"/>
    </row>
    <row r="3881" spans="1:39" x14ac:dyDescent="0.25">
      <c r="AA3881" s="237"/>
      <c r="AB3881" s="237"/>
      <c r="AC3881" s="237"/>
      <c r="AD3881" s="237"/>
      <c r="AE3881" s="237"/>
      <c r="AF3881" s="237"/>
      <c r="AG3881" s="237"/>
      <c r="AH3881" s="237"/>
      <c r="AJ3881" s="238"/>
    </row>
    <row r="3882" spans="1:39" ht="12.75" x14ac:dyDescent="0.2">
      <c r="AL3882" s="226"/>
      <c r="AM3882" s="226"/>
    </row>
    <row r="3883" spans="1:39" ht="12.75" x14ac:dyDescent="0.2">
      <c r="A3883" s="236"/>
      <c r="B3883" s="236"/>
      <c r="C3883" s="236"/>
      <c r="D3883" s="236"/>
      <c r="E3883" s="237"/>
      <c r="G3883" s="237"/>
      <c r="H3883" s="237"/>
      <c r="I3883" s="237"/>
      <c r="K3883" s="237"/>
      <c r="N3883" s="237"/>
      <c r="O3883" s="237"/>
      <c r="P3883" s="237"/>
      <c r="Q3883" s="237"/>
      <c r="AL3883" s="226"/>
      <c r="AM3883" s="226"/>
    </row>
    <row r="3884" spans="1:39" x14ac:dyDescent="0.25">
      <c r="AA3884" s="237"/>
      <c r="AB3884" s="237"/>
      <c r="AC3884" s="237"/>
      <c r="AD3884" s="237"/>
      <c r="AE3884" s="237"/>
      <c r="AF3884" s="237"/>
      <c r="AG3884" s="237"/>
      <c r="AH3884" s="237"/>
      <c r="AJ3884" s="238"/>
    </row>
    <row r="3885" spans="1:39" x14ac:dyDescent="0.25">
      <c r="AA3885" s="237"/>
      <c r="AB3885" s="237"/>
      <c r="AC3885" s="237"/>
      <c r="AD3885" s="237"/>
      <c r="AE3885" s="237"/>
      <c r="AF3885" s="237"/>
      <c r="AG3885" s="237"/>
      <c r="AH3885" s="237"/>
      <c r="AJ3885" s="238"/>
    </row>
    <row r="3886" spans="1:39" x14ac:dyDescent="0.25">
      <c r="AA3886" s="237"/>
      <c r="AB3886" s="237"/>
      <c r="AC3886" s="237"/>
      <c r="AD3886" s="237"/>
      <c r="AE3886" s="237"/>
      <c r="AF3886" s="237"/>
      <c r="AG3886" s="237"/>
      <c r="AH3886" s="237"/>
      <c r="AJ3886" s="238"/>
    </row>
    <row r="3887" spans="1:39" ht="12.75" x14ac:dyDescent="0.2">
      <c r="AL3887" s="226"/>
      <c r="AM3887" s="226"/>
    </row>
    <row r="3888" spans="1:39" ht="12.75" x14ac:dyDescent="0.2">
      <c r="A3888" s="236"/>
      <c r="B3888" s="236"/>
      <c r="C3888" s="236"/>
      <c r="D3888" s="236"/>
      <c r="E3888" s="237"/>
      <c r="G3888" s="237"/>
      <c r="H3888" s="237"/>
      <c r="I3888" s="237"/>
      <c r="K3888" s="237"/>
      <c r="N3888" s="237"/>
      <c r="O3888" s="237"/>
      <c r="P3888" s="237"/>
      <c r="Q3888" s="237"/>
      <c r="AL3888" s="226"/>
      <c r="AM3888" s="226"/>
    </row>
    <row r="3889" spans="1:39" x14ac:dyDescent="0.25">
      <c r="AA3889" s="237"/>
      <c r="AB3889" s="237"/>
      <c r="AC3889" s="237"/>
      <c r="AD3889" s="237"/>
      <c r="AE3889" s="237"/>
      <c r="AF3889" s="237"/>
      <c r="AG3889" s="237"/>
      <c r="AH3889" s="237"/>
      <c r="AJ3889" s="238"/>
    </row>
    <row r="3890" spans="1:39" x14ac:dyDescent="0.25">
      <c r="AA3890" s="237"/>
      <c r="AB3890" s="237"/>
      <c r="AC3890" s="237"/>
      <c r="AD3890" s="237"/>
      <c r="AE3890" s="237"/>
      <c r="AF3890" s="237"/>
      <c r="AG3890" s="237"/>
      <c r="AH3890" s="237"/>
      <c r="AJ3890" s="238"/>
    </row>
    <row r="3891" spans="1:39" x14ac:dyDescent="0.25">
      <c r="AA3891" s="237"/>
      <c r="AB3891" s="237"/>
      <c r="AC3891" s="237"/>
      <c r="AD3891" s="237"/>
      <c r="AE3891" s="237"/>
      <c r="AF3891" s="237"/>
      <c r="AG3891" s="237"/>
      <c r="AH3891" s="237"/>
      <c r="AJ3891" s="238"/>
    </row>
    <row r="3892" spans="1:39" x14ac:dyDescent="0.25">
      <c r="AA3892" s="237"/>
      <c r="AB3892" s="237"/>
      <c r="AC3892" s="237"/>
      <c r="AD3892" s="237"/>
      <c r="AE3892" s="237"/>
      <c r="AF3892" s="237"/>
      <c r="AG3892" s="237"/>
      <c r="AH3892" s="237"/>
      <c r="AJ3892" s="238"/>
    </row>
    <row r="3893" spans="1:39" x14ac:dyDescent="0.25">
      <c r="AA3893" s="237"/>
      <c r="AB3893" s="237"/>
      <c r="AC3893" s="237"/>
      <c r="AD3893" s="237"/>
      <c r="AE3893" s="237"/>
      <c r="AF3893" s="237"/>
      <c r="AG3893" s="237"/>
      <c r="AH3893" s="237"/>
      <c r="AJ3893" s="238"/>
    </row>
    <row r="3894" spans="1:39" x14ac:dyDescent="0.25">
      <c r="AA3894" s="237"/>
      <c r="AB3894" s="237"/>
      <c r="AC3894" s="237"/>
      <c r="AD3894" s="237"/>
      <c r="AE3894" s="237"/>
      <c r="AF3894" s="237"/>
      <c r="AG3894" s="237"/>
      <c r="AH3894" s="237"/>
      <c r="AJ3894" s="238"/>
    </row>
    <row r="3895" spans="1:39" x14ac:dyDescent="0.25">
      <c r="AA3895" s="237"/>
      <c r="AB3895" s="237"/>
      <c r="AC3895" s="237"/>
      <c r="AD3895" s="237"/>
      <c r="AE3895" s="237"/>
      <c r="AF3895" s="237"/>
      <c r="AG3895" s="237"/>
      <c r="AH3895" s="237"/>
      <c r="AJ3895" s="238"/>
    </row>
    <row r="3896" spans="1:39" ht="12.75" x14ac:dyDescent="0.2">
      <c r="AL3896" s="226"/>
      <c r="AM3896" s="226"/>
    </row>
    <row r="3897" spans="1:39" ht="12.75" x14ac:dyDescent="0.2">
      <c r="A3897" s="236"/>
      <c r="B3897" s="236"/>
      <c r="C3897" s="236"/>
      <c r="D3897" s="236"/>
      <c r="E3897" s="237"/>
      <c r="G3897" s="237"/>
      <c r="H3897" s="237"/>
      <c r="I3897" s="237"/>
      <c r="K3897" s="237"/>
      <c r="N3897" s="237"/>
      <c r="O3897" s="237"/>
      <c r="P3897" s="237"/>
      <c r="Q3897" s="237"/>
      <c r="AL3897" s="226"/>
      <c r="AM3897" s="226"/>
    </row>
    <row r="3898" spans="1:39" x14ac:dyDescent="0.25">
      <c r="AA3898" s="237"/>
      <c r="AB3898" s="237"/>
      <c r="AC3898" s="237"/>
      <c r="AD3898" s="237"/>
      <c r="AE3898" s="237"/>
      <c r="AF3898" s="237"/>
      <c r="AG3898" s="237"/>
      <c r="AH3898" s="237"/>
      <c r="AJ3898" s="238"/>
    </row>
    <row r="3899" spans="1:39" ht="12.75" x14ac:dyDescent="0.2">
      <c r="AL3899" s="226"/>
      <c r="AM3899" s="226"/>
    </row>
    <row r="3900" spans="1:39" ht="12.75" x14ac:dyDescent="0.2">
      <c r="A3900" s="236"/>
      <c r="B3900" s="236"/>
      <c r="C3900" s="236"/>
      <c r="D3900" s="236"/>
      <c r="E3900" s="237"/>
      <c r="G3900" s="237"/>
      <c r="H3900" s="237"/>
      <c r="I3900" s="237"/>
      <c r="K3900" s="237"/>
      <c r="N3900" s="237"/>
      <c r="O3900" s="237"/>
      <c r="P3900" s="237"/>
      <c r="Q3900" s="237"/>
      <c r="AL3900" s="226"/>
      <c r="AM3900" s="226"/>
    </row>
    <row r="3901" spans="1:39" x14ac:dyDescent="0.25">
      <c r="AA3901" s="237"/>
      <c r="AB3901" s="237"/>
      <c r="AC3901" s="237"/>
      <c r="AD3901" s="237"/>
      <c r="AE3901" s="237"/>
      <c r="AF3901" s="237"/>
      <c r="AG3901" s="237"/>
      <c r="AH3901" s="237"/>
      <c r="AJ3901" s="238"/>
    </row>
    <row r="3902" spans="1:39" ht="12.75" x14ac:dyDescent="0.2">
      <c r="AL3902" s="226"/>
      <c r="AM3902" s="226"/>
    </row>
    <row r="3903" spans="1:39" ht="12.75" x14ac:dyDescent="0.2">
      <c r="A3903" s="236"/>
      <c r="B3903" s="236"/>
      <c r="C3903" s="236"/>
      <c r="D3903" s="236"/>
      <c r="E3903" s="237"/>
      <c r="G3903" s="237"/>
      <c r="H3903" s="237"/>
      <c r="I3903" s="237"/>
      <c r="K3903" s="237"/>
      <c r="N3903" s="237"/>
      <c r="O3903" s="237"/>
      <c r="P3903" s="237"/>
      <c r="Q3903" s="237"/>
      <c r="AL3903" s="226"/>
      <c r="AM3903" s="226"/>
    </row>
    <row r="3904" spans="1:39" x14ac:dyDescent="0.25">
      <c r="AA3904" s="237"/>
      <c r="AB3904" s="237"/>
      <c r="AC3904" s="237"/>
      <c r="AD3904" s="237"/>
      <c r="AE3904" s="237"/>
      <c r="AF3904" s="237"/>
      <c r="AG3904" s="237"/>
      <c r="AH3904" s="237"/>
      <c r="AJ3904" s="238"/>
    </row>
    <row r="3905" spans="1:39" ht="12.75" x14ac:dyDescent="0.2">
      <c r="AL3905" s="226"/>
      <c r="AM3905" s="226"/>
    </row>
    <row r="3906" spans="1:39" ht="12.75" x14ac:dyDescent="0.2">
      <c r="A3906" s="236"/>
      <c r="B3906" s="236"/>
      <c r="C3906" s="236"/>
      <c r="D3906" s="236"/>
      <c r="E3906" s="237"/>
      <c r="G3906" s="237"/>
      <c r="H3906" s="237"/>
      <c r="I3906" s="237"/>
      <c r="K3906" s="237"/>
      <c r="N3906" s="237"/>
      <c r="O3906" s="237"/>
      <c r="P3906" s="237"/>
      <c r="Q3906" s="237"/>
      <c r="AL3906" s="226"/>
      <c r="AM3906" s="226"/>
    </row>
    <row r="3907" spans="1:39" x14ac:dyDescent="0.25">
      <c r="AA3907" s="237"/>
      <c r="AB3907" s="237"/>
      <c r="AC3907" s="237"/>
      <c r="AD3907" s="237"/>
      <c r="AE3907" s="237"/>
      <c r="AF3907" s="237"/>
      <c r="AG3907" s="237"/>
      <c r="AH3907" s="237"/>
      <c r="AJ3907" s="238"/>
    </row>
    <row r="3908" spans="1:39" ht="12.75" x14ac:dyDescent="0.2">
      <c r="AL3908" s="226"/>
      <c r="AM3908" s="226"/>
    </row>
    <row r="3909" spans="1:39" ht="12.75" x14ac:dyDescent="0.2">
      <c r="A3909" s="236"/>
      <c r="B3909" s="236"/>
      <c r="C3909" s="236"/>
      <c r="D3909" s="236"/>
      <c r="E3909" s="237"/>
      <c r="G3909" s="237"/>
      <c r="H3909" s="237"/>
      <c r="I3909" s="237"/>
      <c r="K3909" s="237"/>
      <c r="N3909" s="237"/>
      <c r="O3909" s="237"/>
      <c r="P3909" s="237"/>
      <c r="Q3909" s="237"/>
      <c r="AL3909" s="226"/>
      <c r="AM3909" s="226"/>
    </row>
    <row r="3910" spans="1:39" x14ac:dyDescent="0.25">
      <c r="AA3910" s="237"/>
      <c r="AB3910" s="237"/>
      <c r="AC3910" s="237"/>
      <c r="AD3910" s="237"/>
      <c r="AE3910" s="237"/>
      <c r="AF3910" s="237"/>
      <c r="AG3910" s="237"/>
      <c r="AH3910" s="237"/>
      <c r="AJ3910" s="238"/>
    </row>
    <row r="3911" spans="1:39" x14ac:dyDescent="0.25">
      <c r="AA3911" s="237"/>
      <c r="AB3911" s="237"/>
      <c r="AC3911" s="237"/>
      <c r="AD3911" s="237"/>
      <c r="AE3911" s="237"/>
      <c r="AF3911" s="237"/>
      <c r="AG3911" s="237"/>
      <c r="AH3911" s="237"/>
      <c r="AJ3911" s="238"/>
    </row>
    <row r="3912" spans="1:39" x14ac:dyDescent="0.25">
      <c r="AA3912" s="237"/>
      <c r="AB3912" s="237"/>
      <c r="AC3912" s="237"/>
      <c r="AD3912" s="237"/>
      <c r="AE3912" s="237"/>
      <c r="AF3912" s="237"/>
      <c r="AG3912" s="237"/>
      <c r="AH3912" s="237"/>
      <c r="AJ3912" s="238"/>
    </row>
    <row r="3913" spans="1:39" ht="12.75" x14ac:dyDescent="0.2">
      <c r="AL3913" s="226"/>
      <c r="AM3913" s="226"/>
    </row>
    <row r="3914" spans="1:39" ht="12.75" x14ac:dyDescent="0.2">
      <c r="A3914" s="236"/>
      <c r="B3914" s="236"/>
      <c r="C3914" s="236"/>
      <c r="D3914" s="236"/>
      <c r="E3914" s="237"/>
      <c r="G3914" s="237"/>
      <c r="H3914" s="237"/>
      <c r="I3914" s="237"/>
      <c r="K3914" s="237"/>
      <c r="N3914" s="237"/>
      <c r="O3914" s="237"/>
      <c r="P3914" s="237"/>
      <c r="Q3914" s="237"/>
      <c r="AL3914" s="226"/>
      <c r="AM3914" s="226"/>
    </row>
    <row r="3915" spans="1:39" x14ac:dyDescent="0.25">
      <c r="AA3915" s="237"/>
      <c r="AB3915" s="237"/>
      <c r="AC3915" s="237"/>
      <c r="AD3915" s="237"/>
      <c r="AE3915" s="237"/>
      <c r="AF3915" s="237"/>
      <c r="AG3915" s="237"/>
      <c r="AH3915" s="237"/>
      <c r="AJ3915" s="238"/>
    </row>
    <row r="3916" spans="1:39" ht="12.75" x14ac:dyDescent="0.2">
      <c r="AL3916" s="226"/>
      <c r="AM3916" s="226"/>
    </row>
    <row r="3917" spans="1:39" ht="12.75" x14ac:dyDescent="0.2">
      <c r="A3917" s="236"/>
      <c r="B3917" s="236"/>
      <c r="C3917" s="236"/>
      <c r="D3917" s="236"/>
      <c r="E3917" s="237"/>
      <c r="G3917" s="237"/>
      <c r="H3917" s="237"/>
      <c r="I3917" s="237"/>
      <c r="K3917" s="237"/>
      <c r="N3917" s="237"/>
      <c r="O3917" s="237"/>
      <c r="P3917" s="237"/>
      <c r="Q3917" s="237"/>
      <c r="AL3917" s="226"/>
      <c r="AM3917" s="226"/>
    </row>
    <row r="3918" spans="1:39" x14ac:dyDescent="0.25">
      <c r="AA3918" s="237"/>
      <c r="AB3918" s="237"/>
      <c r="AC3918" s="237"/>
      <c r="AD3918" s="237"/>
      <c r="AE3918" s="237"/>
      <c r="AF3918" s="237"/>
      <c r="AG3918" s="237"/>
      <c r="AH3918" s="237"/>
      <c r="AJ3918" s="238"/>
    </row>
    <row r="3919" spans="1:39" x14ac:dyDescent="0.25">
      <c r="AA3919" s="237"/>
      <c r="AB3919" s="237"/>
      <c r="AC3919" s="237"/>
      <c r="AD3919" s="237"/>
      <c r="AE3919" s="237"/>
      <c r="AF3919" s="237"/>
      <c r="AG3919" s="237"/>
      <c r="AH3919" s="237"/>
      <c r="AJ3919" s="238"/>
    </row>
    <row r="3920" spans="1:39" x14ac:dyDescent="0.25">
      <c r="AA3920" s="237"/>
      <c r="AB3920" s="237"/>
      <c r="AC3920" s="237"/>
      <c r="AD3920" s="237"/>
      <c r="AE3920" s="237"/>
      <c r="AF3920" s="237"/>
      <c r="AG3920" s="237"/>
      <c r="AH3920" s="237"/>
      <c r="AJ3920" s="238"/>
    </row>
    <row r="3921" spans="1:39" x14ac:dyDescent="0.25">
      <c r="AA3921" s="237"/>
      <c r="AB3921" s="237"/>
      <c r="AC3921" s="237"/>
      <c r="AD3921" s="237"/>
      <c r="AE3921" s="237"/>
      <c r="AF3921" s="237"/>
      <c r="AG3921" s="237"/>
      <c r="AH3921" s="237"/>
      <c r="AJ3921" s="238"/>
    </row>
    <row r="3922" spans="1:39" ht="12.75" x14ac:dyDescent="0.2">
      <c r="AL3922" s="226"/>
      <c r="AM3922" s="226"/>
    </row>
    <row r="3923" spans="1:39" ht="12.75" x14ac:dyDescent="0.2">
      <c r="A3923" s="236"/>
      <c r="B3923" s="236"/>
      <c r="C3923" s="236"/>
      <c r="D3923" s="236"/>
      <c r="E3923" s="237"/>
      <c r="G3923" s="237"/>
      <c r="H3923" s="237"/>
      <c r="I3923" s="237"/>
      <c r="K3923" s="237"/>
      <c r="N3923" s="237"/>
      <c r="O3923" s="237"/>
      <c r="P3923" s="237"/>
      <c r="Q3923" s="237"/>
      <c r="AL3923" s="226"/>
      <c r="AM3923" s="226"/>
    </row>
    <row r="3924" spans="1:39" x14ac:dyDescent="0.25">
      <c r="AA3924" s="237"/>
      <c r="AB3924" s="237"/>
      <c r="AC3924" s="237"/>
      <c r="AD3924" s="237"/>
      <c r="AE3924" s="237"/>
      <c r="AF3924" s="237"/>
      <c r="AG3924" s="237"/>
      <c r="AH3924" s="237"/>
      <c r="AJ3924" s="238"/>
    </row>
    <row r="3925" spans="1:39" ht="12.75" x14ac:dyDescent="0.2">
      <c r="AL3925" s="226"/>
      <c r="AM3925" s="226"/>
    </row>
    <row r="3926" spans="1:39" ht="12.75" x14ac:dyDescent="0.2">
      <c r="A3926" s="236"/>
      <c r="B3926" s="236"/>
      <c r="C3926" s="236"/>
      <c r="D3926" s="236"/>
      <c r="E3926" s="237"/>
      <c r="G3926" s="237"/>
      <c r="H3926" s="237"/>
      <c r="I3926" s="237"/>
      <c r="K3926" s="237"/>
      <c r="N3926" s="237"/>
      <c r="O3926" s="237"/>
      <c r="P3926" s="237"/>
      <c r="Q3926" s="237"/>
      <c r="AL3926" s="226"/>
      <c r="AM3926" s="226"/>
    </row>
    <row r="3927" spans="1:39" x14ac:dyDescent="0.25">
      <c r="AA3927" s="237"/>
      <c r="AB3927" s="237"/>
      <c r="AC3927" s="237"/>
      <c r="AD3927" s="237"/>
      <c r="AE3927" s="237"/>
      <c r="AF3927" s="237"/>
      <c r="AG3927" s="237"/>
      <c r="AH3927" s="237"/>
      <c r="AJ3927" s="238"/>
    </row>
    <row r="3928" spans="1:39" ht="12.75" x14ac:dyDescent="0.2">
      <c r="AL3928" s="226"/>
      <c r="AM3928" s="226"/>
    </row>
    <row r="3929" spans="1:39" ht="12.75" x14ac:dyDescent="0.2">
      <c r="A3929" s="236"/>
      <c r="B3929" s="236"/>
      <c r="C3929" s="236"/>
      <c r="D3929" s="236"/>
      <c r="E3929" s="237"/>
      <c r="G3929" s="237"/>
      <c r="H3929" s="237"/>
      <c r="I3929" s="237"/>
      <c r="K3929" s="237"/>
      <c r="N3929" s="237"/>
      <c r="O3929" s="237"/>
      <c r="P3929" s="237"/>
      <c r="Q3929" s="237"/>
      <c r="AL3929" s="226"/>
      <c r="AM3929" s="226"/>
    </row>
    <row r="3930" spans="1:39" x14ac:dyDescent="0.25">
      <c r="AA3930" s="237"/>
      <c r="AB3930" s="237"/>
      <c r="AC3930" s="237"/>
      <c r="AD3930" s="237"/>
      <c r="AE3930" s="237"/>
      <c r="AF3930" s="237"/>
      <c r="AG3930" s="237"/>
      <c r="AH3930" s="237"/>
      <c r="AJ3930" s="238"/>
    </row>
    <row r="3931" spans="1:39" ht="12.75" x14ac:dyDescent="0.2">
      <c r="AL3931" s="226"/>
      <c r="AM3931" s="226"/>
    </row>
    <row r="3932" spans="1:39" ht="12.75" x14ac:dyDescent="0.2">
      <c r="A3932" s="236"/>
      <c r="B3932" s="236"/>
      <c r="C3932" s="236"/>
      <c r="D3932" s="236"/>
      <c r="E3932" s="237"/>
      <c r="G3932" s="237"/>
      <c r="H3932" s="237"/>
      <c r="I3932" s="237"/>
      <c r="K3932" s="237"/>
      <c r="N3932" s="237"/>
      <c r="O3932" s="237"/>
      <c r="P3932" s="237"/>
      <c r="Q3932" s="237"/>
      <c r="AL3932" s="226"/>
      <c r="AM3932" s="226"/>
    </row>
    <row r="3933" spans="1:39" x14ac:dyDescent="0.25">
      <c r="AA3933" s="237"/>
      <c r="AB3933" s="237"/>
      <c r="AC3933" s="237"/>
      <c r="AD3933" s="237"/>
      <c r="AE3933" s="237"/>
      <c r="AF3933" s="237"/>
      <c r="AG3933" s="237"/>
      <c r="AH3933" s="237"/>
      <c r="AJ3933" s="238"/>
    </row>
    <row r="3934" spans="1:39" ht="12.75" x14ac:dyDescent="0.2">
      <c r="AL3934" s="226"/>
      <c r="AM3934" s="226"/>
    </row>
    <row r="3935" spans="1:39" ht="12.75" x14ac:dyDescent="0.2">
      <c r="A3935" s="236"/>
      <c r="B3935" s="236"/>
      <c r="C3935" s="236"/>
      <c r="D3935" s="236"/>
      <c r="E3935" s="237"/>
      <c r="G3935" s="237"/>
      <c r="H3935" s="237"/>
      <c r="I3935" s="237"/>
      <c r="K3935" s="237"/>
      <c r="N3935" s="237"/>
      <c r="O3935" s="237"/>
      <c r="P3935" s="237"/>
      <c r="Q3935" s="237"/>
      <c r="AL3935" s="226"/>
      <c r="AM3935" s="226"/>
    </row>
    <row r="3936" spans="1:39" x14ac:dyDescent="0.25">
      <c r="AA3936" s="237"/>
      <c r="AB3936" s="237"/>
      <c r="AC3936" s="237"/>
      <c r="AD3936" s="237"/>
      <c r="AE3936" s="237"/>
      <c r="AF3936" s="237"/>
      <c r="AG3936" s="237"/>
      <c r="AH3936" s="237"/>
      <c r="AJ3936" s="238"/>
    </row>
    <row r="3937" spans="1:39" ht="12.75" x14ac:dyDescent="0.2">
      <c r="AL3937" s="226"/>
      <c r="AM3937" s="226"/>
    </row>
    <row r="3938" spans="1:39" ht="12.75" x14ac:dyDescent="0.2">
      <c r="A3938" s="236"/>
      <c r="B3938" s="236"/>
      <c r="C3938" s="236"/>
      <c r="D3938" s="236"/>
      <c r="E3938" s="237"/>
      <c r="G3938" s="237"/>
      <c r="H3938" s="237"/>
      <c r="I3938" s="237"/>
      <c r="K3938" s="237"/>
      <c r="N3938" s="237"/>
      <c r="O3938" s="237"/>
      <c r="P3938" s="237"/>
      <c r="Q3938" s="237"/>
      <c r="AL3938" s="226"/>
      <c r="AM3938" s="226"/>
    </row>
    <row r="3939" spans="1:39" x14ac:dyDescent="0.25">
      <c r="AA3939" s="237"/>
      <c r="AB3939" s="237"/>
      <c r="AC3939" s="237"/>
      <c r="AD3939" s="237"/>
      <c r="AE3939" s="237"/>
      <c r="AF3939" s="237"/>
      <c r="AG3939" s="237"/>
      <c r="AH3939" s="237"/>
      <c r="AJ3939" s="238"/>
    </row>
    <row r="3940" spans="1:39" ht="12.75" x14ac:dyDescent="0.2">
      <c r="AL3940" s="226"/>
      <c r="AM3940" s="226"/>
    </row>
    <row r="3941" spans="1:39" ht="12.75" x14ac:dyDescent="0.2">
      <c r="A3941" s="236"/>
      <c r="B3941" s="236"/>
      <c r="C3941" s="236"/>
      <c r="D3941" s="236"/>
      <c r="E3941" s="237"/>
      <c r="G3941" s="237"/>
      <c r="H3941" s="237"/>
      <c r="I3941" s="237"/>
      <c r="K3941" s="237"/>
      <c r="N3941" s="237"/>
      <c r="O3941" s="237"/>
      <c r="P3941" s="237"/>
      <c r="Q3941" s="237"/>
      <c r="AL3941" s="226"/>
      <c r="AM3941" s="226"/>
    </row>
    <row r="3942" spans="1:39" x14ac:dyDescent="0.25">
      <c r="AA3942" s="237"/>
      <c r="AB3942" s="237"/>
      <c r="AC3942" s="237"/>
      <c r="AD3942" s="237"/>
      <c r="AE3942" s="237"/>
      <c r="AF3942" s="237"/>
      <c r="AG3942" s="237"/>
      <c r="AH3942" s="237"/>
      <c r="AJ3942" s="238"/>
    </row>
    <row r="3943" spans="1:39" ht="12.75" x14ac:dyDescent="0.2">
      <c r="AL3943" s="226"/>
      <c r="AM3943" s="226"/>
    </row>
    <row r="3944" spans="1:39" ht="12.75" x14ac:dyDescent="0.2">
      <c r="A3944" s="236"/>
      <c r="B3944" s="236"/>
      <c r="C3944" s="236"/>
      <c r="D3944" s="236"/>
      <c r="E3944" s="237"/>
      <c r="G3944" s="237"/>
      <c r="H3944" s="237"/>
      <c r="I3944" s="237"/>
      <c r="K3944" s="237"/>
      <c r="N3944" s="237"/>
      <c r="O3944" s="237"/>
      <c r="P3944" s="237"/>
      <c r="Q3944" s="237"/>
      <c r="AL3944" s="226"/>
      <c r="AM3944" s="226"/>
    </row>
    <row r="3945" spans="1:39" x14ac:dyDescent="0.25">
      <c r="AA3945" s="237"/>
      <c r="AB3945" s="237"/>
      <c r="AC3945" s="237"/>
      <c r="AD3945" s="237"/>
      <c r="AE3945" s="237"/>
      <c r="AF3945" s="237"/>
      <c r="AG3945" s="237"/>
      <c r="AH3945" s="237"/>
      <c r="AJ3945" s="238"/>
    </row>
    <row r="3946" spans="1:39" ht="12.75" x14ac:dyDescent="0.2">
      <c r="AL3946" s="226"/>
      <c r="AM3946" s="226"/>
    </row>
    <row r="3947" spans="1:39" ht="12.75" x14ac:dyDescent="0.2">
      <c r="A3947" s="236"/>
      <c r="B3947" s="236"/>
      <c r="C3947" s="236"/>
      <c r="D3947" s="236"/>
      <c r="E3947" s="237"/>
      <c r="G3947" s="237"/>
      <c r="H3947" s="237"/>
      <c r="I3947" s="237"/>
      <c r="K3947" s="237"/>
      <c r="N3947" s="237"/>
      <c r="O3947" s="237"/>
      <c r="P3947" s="237"/>
      <c r="Q3947" s="237"/>
      <c r="AL3947" s="226"/>
      <c r="AM3947" s="226"/>
    </row>
    <row r="3948" spans="1:39" x14ac:dyDescent="0.25">
      <c r="AA3948" s="237"/>
      <c r="AB3948" s="237"/>
      <c r="AC3948" s="237"/>
      <c r="AD3948" s="237"/>
      <c r="AE3948" s="237"/>
      <c r="AF3948" s="237"/>
      <c r="AG3948" s="237"/>
      <c r="AH3948" s="237"/>
      <c r="AJ3948" s="238"/>
    </row>
    <row r="3949" spans="1:39" x14ac:dyDescent="0.25">
      <c r="AA3949" s="237"/>
      <c r="AB3949" s="237"/>
      <c r="AC3949" s="237"/>
      <c r="AD3949" s="237"/>
      <c r="AE3949" s="237"/>
      <c r="AF3949" s="237"/>
      <c r="AG3949" s="237"/>
      <c r="AH3949" s="237"/>
      <c r="AJ3949" s="238"/>
    </row>
    <row r="3950" spans="1:39" ht="12.75" x14ac:dyDescent="0.2">
      <c r="AL3950" s="226"/>
      <c r="AM3950" s="226"/>
    </row>
    <row r="3951" spans="1:39" ht="12.75" x14ac:dyDescent="0.2">
      <c r="A3951" s="236"/>
      <c r="B3951" s="236"/>
      <c r="C3951" s="236"/>
      <c r="D3951" s="236"/>
      <c r="E3951" s="237"/>
      <c r="G3951" s="237"/>
      <c r="H3951" s="237"/>
      <c r="I3951" s="237"/>
      <c r="K3951" s="237"/>
      <c r="N3951" s="237"/>
      <c r="O3951" s="237"/>
      <c r="P3951" s="237"/>
      <c r="Q3951" s="237"/>
      <c r="AL3951" s="226"/>
      <c r="AM3951" s="226"/>
    </row>
    <row r="3952" spans="1:39" x14ac:dyDescent="0.25">
      <c r="AA3952" s="237"/>
      <c r="AB3952" s="237"/>
      <c r="AC3952" s="237"/>
      <c r="AD3952" s="237"/>
      <c r="AE3952" s="237"/>
      <c r="AF3952" s="237"/>
      <c r="AG3952" s="237"/>
      <c r="AH3952" s="237"/>
      <c r="AJ3952" s="238"/>
    </row>
    <row r="3953" spans="1:39" x14ac:dyDescent="0.25">
      <c r="AA3953" s="237"/>
      <c r="AB3953" s="237"/>
      <c r="AC3953" s="237"/>
      <c r="AD3953" s="237"/>
      <c r="AE3953" s="237"/>
      <c r="AF3953" s="237"/>
      <c r="AG3953" s="237"/>
      <c r="AH3953" s="237"/>
      <c r="AJ3953" s="238"/>
    </row>
    <row r="3954" spans="1:39" ht="12.75" x14ac:dyDescent="0.2">
      <c r="AL3954" s="226"/>
      <c r="AM3954" s="226"/>
    </row>
    <row r="3955" spans="1:39" ht="12.75" x14ac:dyDescent="0.2">
      <c r="A3955" s="236"/>
      <c r="B3955" s="236"/>
      <c r="C3955" s="236"/>
      <c r="D3955" s="236"/>
      <c r="E3955" s="237"/>
      <c r="G3955" s="237"/>
      <c r="H3955" s="237"/>
      <c r="I3955" s="237"/>
      <c r="K3955" s="237"/>
      <c r="N3955" s="237"/>
      <c r="O3955" s="237"/>
      <c r="P3955" s="237"/>
      <c r="Q3955" s="237"/>
      <c r="AL3955" s="226"/>
      <c r="AM3955" s="226"/>
    </row>
    <row r="3956" spans="1:39" x14ac:dyDescent="0.25">
      <c r="AA3956" s="237"/>
      <c r="AB3956" s="237"/>
      <c r="AC3956" s="237"/>
      <c r="AD3956" s="237"/>
      <c r="AE3956" s="237"/>
      <c r="AF3956" s="237"/>
      <c r="AG3956" s="237"/>
      <c r="AH3956" s="237"/>
      <c r="AJ3956" s="238"/>
    </row>
    <row r="3957" spans="1:39" ht="12.75" x14ac:dyDescent="0.2">
      <c r="AL3957" s="226"/>
      <c r="AM3957" s="226"/>
    </row>
    <row r="3958" spans="1:39" ht="12.75" x14ac:dyDescent="0.2">
      <c r="A3958" s="236"/>
      <c r="B3958" s="236"/>
      <c r="C3958" s="236"/>
      <c r="D3958" s="236"/>
      <c r="E3958" s="237"/>
      <c r="G3958" s="237"/>
      <c r="H3958" s="237"/>
      <c r="I3958" s="237"/>
      <c r="K3958" s="237"/>
      <c r="N3958" s="237"/>
      <c r="O3958" s="237"/>
      <c r="P3958" s="237"/>
      <c r="Q3958" s="237"/>
      <c r="AL3958" s="226"/>
      <c r="AM3958" s="226"/>
    </row>
    <row r="3959" spans="1:39" x14ac:dyDescent="0.25">
      <c r="V3959" s="240"/>
      <c r="W3959" s="240"/>
      <c r="X3959" s="240"/>
      <c r="Y3959" s="240"/>
      <c r="Z3959" s="240"/>
      <c r="AA3959" s="241"/>
      <c r="AB3959" s="241"/>
      <c r="AC3959" s="241"/>
      <c r="AD3959" s="241"/>
      <c r="AE3959" s="241"/>
      <c r="AF3959" s="241"/>
      <c r="AG3959" s="241"/>
      <c r="AH3959" s="241"/>
      <c r="AJ3959" s="238"/>
    </row>
    <row r="3960" spans="1:39" ht="12.75" x14ac:dyDescent="0.2">
      <c r="AL3960" s="226"/>
      <c r="AM3960" s="226"/>
    </row>
    <row r="3961" spans="1:39" ht="12.75" x14ac:dyDescent="0.2">
      <c r="A3961" s="236"/>
      <c r="B3961" s="236"/>
      <c r="C3961" s="236"/>
      <c r="D3961" s="236"/>
      <c r="E3961" s="237"/>
      <c r="G3961" s="237"/>
      <c r="H3961" s="237"/>
      <c r="I3961" s="237"/>
      <c r="K3961" s="237"/>
      <c r="N3961" s="237"/>
      <c r="O3961" s="237"/>
      <c r="P3961" s="237"/>
      <c r="Q3961" s="237"/>
      <c r="AL3961" s="226"/>
      <c r="AM3961" s="226"/>
    </row>
    <row r="3962" spans="1:39" x14ac:dyDescent="0.25">
      <c r="AA3962" s="237"/>
      <c r="AB3962" s="237"/>
      <c r="AC3962" s="237"/>
      <c r="AD3962" s="237"/>
      <c r="AE3962" s="237"/>
      <c r="AF3962" s="237"/>
      <c r="AG3962" s="237"/>
      <c r="AH3962" s="237"/>
      <c r="AJ3962" s="238"/>
    </row>
    <row r="3963" spans="1:39" x14ac:dyDescent="0.25">
      <c r="AA3963" s="237"/>
      <c r="AB3963" s="237"/>
      <c r="AC3963" s="237"/>
      <c r="AD3963" s="237"/>
      <c r="AE3963" s="237"/>
      <c r="AF3963" s="237"/>
      <c r="AG3963" s="237"/>
      <c r="AH3963" s="237"/>
      <c r="AJ3963" s="238"/>
    </row>
    <row r="3964" spans="1:39" x14ac:dyDescent="0.25">
      <c r="AA3964" s="237"/>
      <c r="AB3964" s="237"/>
      <c r="AC3964" s="237"/>
      <c r="AD3964" s="237"/>
      <c r="AE3964" s="237"/>
      <c r="AF3964" s="237"/>
      <c r="AG3964" s="237"/>
      <c r="AH3964" s="237"/>
      <c r="AJ3964" s="238"/>
    </row>
    <row r="3965" spans="1:39" x14ac:dyDescent="0.25">
      <c r="AA3965" s="237"/>
      <c r="AB3965" s="237"/>
      <c r="AC3965" s="237"/>
      <c r="AD3965" s="237"/>
      <c r="AE3965" s="237"/>
      <c r="AF3965" s="237"/>
      <c r="AG3965" s="237"/>
      <c r="AH3965" s="237"/>
      <c r="AJ3965" s="238"/>
    </row>
    <row r="3966" spans="1:39" ht="12.75" x14ac:dyDescent="0.2">
      <c r="AL3966" s="226"/>
      <c r="AM3966" s="226"/>
    </row>
    <row r="3967" spans="1:39" ht="12.75" x14ac:dyDescent="0.2">
      <c r="A3967" s="236"/>
      <c r="B3967" s="236"/>
      <c r="C3967" s="236"/>
      <c r="D3967" s="236"/>
      <c r="E3967" s="237"/>
      <c r="G3967" s="237"/>
      <c r="H3967" s="237"/>
      <c r="I3967" s="237"/>
      <c r="K3967" s="237"/>
      <c r="N3967" s="237"/>
      <c r="O3967" s="237"/>
      <c r="P3967" s="237"/>
      <c r="Q3967" s="237"/>
      <c r="AL3967" s="226"/>
      <c r="AM3967" s="226"/>
    </row>
    <row r="3968" spans="1:39" x14ac:dyDescent="0.25">
      <c r="AA3968" s="237"/>
      <c r="AB3968" s="237"/>
      <c r="AC3968" s="237"/>
      <c r="AD3968" s="237"/>
      <c r="AE3968" s="237"/>
      <c r="AF3968" s="237"/>
      <c r="AG3968" s="237"/>
      <c r="AH3968" s="237"/>
      <c r="AJ3968" s="238"/>
    </row>
    <row r="3969" spans="1:39" ht="12.75" x14ac:dyDescent="0.2">
      <c r="AL3969" s="226"/>
      <c r="AM3969" s="226"/>
    </row>
    <row r="3970" spans="1:39" ht="12.75" x14ac:dyDescent="0.2">
      <c r="A3970" s="236"/>
      <c r="B3970" s="236"/>
      <c r="C3970" s="236"/>
      <c r="D3970" s="236"/>
      <c r="E3970" s="237"/>
      <c r="G3970" s="237"/>
      <c r="H3970" s="237"/>
      <c r="I3970" s="237"/>
      <c r="K3970" s="237"/>
      <c r="N3970" s="237"/>
      <c r="O3970" s="237"/>
      <c r="P3970" s="237"/>
      <c r="Q3970" s="237"/>
      <c r="AL3970" s="226"/>
      <c r="AM3970" s="226"/>
    </row>
    <row r="3971" spans="1:39" x14ac:dyDescent="0.25">
      <c r="AA3971" s="237"/>
      <c r="AB3971" s="237"/>
      <c r="AC3971" s="237"/>
      <c r="AD3971" s="237"/>
      <c r="AE3971" s="237"/>
      <c r="AF3971" s="237"/>
      <c r="AG3971" s="237"/>
      <c r="AH3971" s="237"/>
      <c r="AJ3971" s="238"/>
    </row>
    <row r="3972" spans="1:39" ht="12.75" x14ac:dyDescent="0.2">
      <c r="AL3972" s="226"/>
      <c r="AM3972" s="226"/>
    </row>
    <row r="3973" spans="1:39" ht="12.75" x14ac:dyDescent="0.2">
      <c r="A3973" s="236"/>
      <c r="B3973" s="236"/>
      <c r="C3973" s="236"/>
      <c r="D3973" s="236"/>
      <c r="E3973" s="237"/>
      <c r="G3973" s="237"/>
      <c r="H3973" s="237"/>
      <c r="I3973" s="237"/>
      <c r="K3973" s="237"/>
      <c r="N3973" s="237"/>
      <c r="O3973" s="237"/>
      <c r="P3973" s="237"/>
      <c r="Q3973" s="237"/>
      <c r="AL3973" s="226"/>
      <c r="AM3973" s="226"/>
    </row>
    <row r="3974" spans="1:39" x14ac:dyDescent="0.25">
      <c r="AA3974" s="237"/>
      <c r="AB3974" s="237"/>
      <c r="AC3974" s="237"/>
      <c r="AD3974" s="237"/>
      <c r="AE3974" s="237"/>
      <c r="AF3974" s="237"/>
      <c r="AG3974" s="237"/>
      <c r="AH3974" s="237"/>
      <c r="AJ3974" s="238"/>
    </row>
    <row r="3975" spans="1:39" x14ac:dyDescent="0.25">
      <c r="AA3975" s="237"/>
      <c r="AB3975" s="237"/>
      <c r="AC3975" s="237"/>
      <c r="AD3975" s="237"/>
      <c r="AE3975" s="237"/>
      <c r="AF3975" s="237"/>
      <c r="AG3975" s="237"/>
      <c r="AH3975" s="237"/>
      <c r="AJ3975" s="238"/>
    </row>
    <row r="3976" spans="1:39" x14ac:dyDescent="0.25">
      <c r="AA3976" s="237"/>
      <c r="AB3976" s="237"/>
      <c r="AC3976" s="237"/>
      <c r="AD3976" s="237"/>
      <c r="AE3976" s="237"/>
      <c r="AF3976" s="237"/>
      <c r="AG3976" s="237"/>
      <c r="AH3976" s="237"/>
      <c r="AJ3976" s="238"/>
    </row>
    <row r="3977" spans="1:39" x14ac:dyDescent="0.25">
      <c r="AA3977" s="237"/>
      <c r="AB3977" s="237"/>
      <c r="AC3977" s="237"/>
      <c r="AD3977" s="237"/>
      <c r="AE3977" s="237"/>
      <c r="AF3977" s="237"/>
      <c r="AG3977" s="237"/>
      <c r="AH3977" s="237"/>
      <c r="AJ3977" s="238"/>
    </row>
    <row r="3978" spans="1:39" x14ac:dyDescent="0.25">
      <c r="AA3978" s="237"/>
      <c r="AB3978" s="237"/>
      <c r="AC3978" s="237"/>
      <c r="AD3978" s="237"/>
      <c r="AE3978" s="237"/>
      <c r="AF3978" s="237"/>
      <c r="AG3978" s="237"/>
      <c r="AH3978" s="237"/>
      <c r="AJ3978" s="238"/>
    </row>
    <row r="3979" spans="1:39" ht="12.75" x14ac:dyDescent="0.2">
      <c r="AL3979" s="226"/>
      <c r="AM3979" s="226"/>
    </row>
    <row r="3980" spans="1:39" ht="12.75" x14ac:dyDescent="0.2">
      <c r="A3980" s="236"/>
      <c r="B3980" s="236"/>
      <c r="C3980" s="236"/>
      <c r="D3980" s="236"/>
      <c r="E3980" s="237"/>
      <c r="G3980" s="237"/>
      <c r="H3980" s="237"/>
      <c r="I3980" s="237"/>
      <c r="K3980" s="237"/>
      <c r="N3980" s="237"/>
      <c r="O3980" s="237"/>
      <c r="P3980" s="237"/>
      <c r="Q3980" s="237"/>
      <c r="AL3980" s="226"/>
      <c r="AM3980" s="226"/>
    </row>
    <row r="3981" spans="1:39" x14ac:dyDescent="0.25">
      <c r="AA3981" s="237"/>
      <c r="AB3981" s="237"/>
      <c r="AC3981" s="237"/>
      <c r="AD3981" s="237"/>
      <c r="AE3981" s="237"/>
      <c r="AF3981" s="237"/>
      <c r="AG3981" s="237"/>
      <c r="AH3981" s="237"/>
      <c r="AJ3981" s="238"/>
    </row>
    <row r="3982" spans="1:39" x14ac:dyDescent="0.25">
      <c r="AA3982" s="237"/>
      <c r="AB3982" s="237"/>
      <c r="AC3982" s="237"/>
      <c r="AD3982" s="237"/>
      <c r="AE3982" s="237"/>
      <c r="AF3982" s="237"/>
      <c r="AG3982" s="237"/>
      <c r="AH3982" s="237"/>
      <c r="AJ3982" s="238"/>
    </row>
    <row r="3983" spans="1:39" x14ac:dyDescent="0.25">
      <c r="AA3983" s="237"/>
      <c r="AB3983" s="237"/>
      <c r="AC3983" s="237"/>
      <c r="AD3983" s="237"/>
      <c r="AE3983" s="237"/>
      <c r="AF3983" s="237"/>
      <c r="AG3983" s="237"/>
      <c r="AH3983" s="237"/>
      <c r="AJ3983" s="238"/>
    </row>
    <row r="3984" spans="1:39" x14ac:dyDescent="0.25">
      <c r="AA3984" s="237"/>
      <c r="AB3984" s="237"/>
      <c r="AC3984" s="237"/>
      <c r="AD3984" s="237"/>
      <c r="AE3984" s="237"/>
      <c r="AF3984" s="237"/>
      <c r="AG3984" s="237"/>
      <c r="AH3984" s="237"/>
      <c r="AJ3984" s="238"/>
    </row>
    <row r="3985" spans="1:39" ht="12.75" x14ac:dyDescent="0.2">
      <c r="AL3985" s="226"/>
      <c r="AM3985" s="226"/>
    </row>
    <row r="3986" spans="1:39" ht="12.75" x14ac:dyDescent="0.2">
      <c r="A3986" s="236"/>
      <c r="B3986" s="236"/>
      <c r="C3986" s="236"/>
      <c r="D3986" s="236"/>
      <c r="E3986" s="237"/>
      <c r="G3986" s="237"/>
      <c r="H3986" s="237"/>
      <c r="I3986" s="237"/>
      <c r="K3986" s="237"/>
      <c r="N3986" s="237"/>
      <c r="O3986" s="237"/>
      <c r="P3986" s="237"/>
      <c r="Q3986" s="237"/>
      <c r="AL3986" s="226"/>
      <c r="AM3986" s="226"/>
    </row>
    <row r="3987" spans="1:39" x14ac:dyDescent="0.25">
      <c r="AA3987" s="237"/>
      <c r="AB3987" s="237"/>
      <c r="AC3987" s="237"/>
      <c r="AD3987" s="237"/>
      <c r="AE3987" s="237"/>
      <c r="AF3987" s="237"/>
      <c r="AG3987" s="237"/>
      <c r="AH3987" s="237"/>
      <c r="AJ3987" s="238"/>
    </row>
    <row r="3988" spans="1:39" ht="12.75" x14ac:dyDescent="0.2">
      <c r="AL3988" s="226"/>
      <c r="AM3988" s="226"/>
    </row>
    <row r="3989" spans="1:39" ht="12.75" x14ac:dyDescent="0.2">
      <c r="A3989" s="236"/>
      <c r="B3989" s="236"/>
      <c r="C3989" s="236"/>
      <c r="D3989" s="236"/>
      <c r="E3989" s="237"/>
      <c r="G3989" s="237"/>
      <c r="H3989" s="237"/>
      <c r="I3989" s="237"/>
      <c r="K3989" s="237"/>
      <c r="N3989" s="237"/>
      <c r="O3989" s="237"/>
      <c r="P3989" s="237"/>
      <c r="Q3989" s="237"/>
      <c r="AL3989" s="226"/>
      <c r="AM3989" s="226"/>
    </row>
    <row r="3990" spans="1:39" x14ac:dyDescent="0.25">
      <c r="AA3990" s="237"/>
      <c r="AB3990" s="237"/>
      <c r="AC3990" s="237"/>
      <c r="AD3990" s="237"/>
      <c r="AE3990" s="237"/>
      <c r="AF3990" s="237"/>
      <c r="AG3990" s="237"/>
      <c r="AH3990" s="237"/>
      <c r="AJ3990" s="238"/>
    </row>
    <row r="3991" spans="1:39" x14ac:dyDescent="0.25">
      <c r="AA3991" s="237"/>
      <c r="AB3991" s="237"/>
      <c r="AC3991" s="237"/>
      <c r="AD3991" s="237"/>
      <c r="AE3991" s="237"/>
      <c r="AF3991" s="237"/>
      <c r="AG3991" s="237"/>
      <c r="AH3991" s="237"/>
      <c r="AJ3991" s="238"/>
    </row>
    <row r="3992" spans="1:39" ht="12.75" x14ac:dyDescent="0.2">
      <c r="AL3992" s="226"/>
      <c r="AM3992" s="226"/>
    </row>
    <row r="3993" spans="1:39" ht="12.75" x14ac:dyDescent="0.2">
      <c r="A3993" s="236"/>
      <c r="B3993" s="236"/>
      <c r="C3993" s="236"/>
      <c r="D3993" s="236"/>
      <c r="E3993" s="237"/>
      <c r="G3993" s="237"/>
      <c r="H3993" s="237"/>
      <c r="I3993" s="237"/>
      <c r="K3993" s="237"/>
      <c r="N3993" s="237"/>
      <c r="O3993" s="237"/>
      <c r="P3993" s="237"/>
      <c r="Q3993" s="237"/>
      <c r="AL3993" s="226"/>
      <c r="AM3993" s="226"/>
    </row>
    <row r="3994" spans="1:39" x14ac:dyDescent="0.25">
      <c r="AA3994" s="237"/>
      <c r="AB3994" s="237"/>
      <c r="AC3994" s="237"/>
      <c r="AD3994" s="237"/>
      <c r="AE3994" s="237"/>
      <c r="AF3994" s="237"/>
      <c r="AG3994" s="237"/>
      <c r="AH3994" s="237"/>
      <c r="AJ3994" s="238"/>
    </row>
    <row r="3995" spans="1:39" ht="12.75" x14ac:dyDescent="0.2">
      <c r="AL3995" s="226"/>
      <c r="AM3995" s="226"/>
    </row>
    <row r="3996" spans="1:39" ht="12.75" x14ac:dyDescent="0.2">
      <c r="A3996" s="236"/>
      <c r="B3996" s="236"/>
      <c r="C3996" s="236"/>
      <c r="D3996" s="236"/>
      <c r="E3996" s="237"/>
      <c r="G3996" s="237"/>
      <c r="H3996" s="237"/>
      <c r="I3996" s="237"/>
      <c r="K3996" s="237"/>
      <c r="N3996" s="237"/>
      <c r="O3996" s="237"/>
      <c r="P3996" s="237"/>
      <c r="Q3996" s="237"/>
      <c r="AL3996" s="226"/>
      <c r="AM3996" s="226"/>
    </row>
    <row r="3997" spans="1:39" x14ac:dyDescent="0.25">
      <c r="AA3997" s="237"/>
      <c r="AB3997" s="237"/>
      <c r="AC3997" s="237"/>
      <c r="AD3997" s="237"/>
      <c r="AE3997" s="237"/>
      <c r="AF3997" s="237"/>
      <c r="AG3997" s="237"/>
      <c r="AH3997" s="237"/>
      <c r="AJ3997" s="238"/>
    </row>
    <row r="3998" spans="1:39" x14ac:dyDescent="0.25">
      <c r="AA3998" s="237"/>
      <c r="AB3998" s="237"/>
      <c r="AC3998" s="237"/>
      <c r="AD3998" s="237"/>
      <c r="AE3998" s="237"/>
      <c r="AF3998" s="237"/>
      <c r="AG3998" s="237"/>
      <c r="AH3998" s="237"/>
      <c r="AJ3998" s="238"/>
    </row>
    <row r="3999" spans="1:39" ht="12.75" x14ac:dyDescent="0.2">
      <c r="AL3999" s="226"/>
      <c r="AM3999" s="226"/>
    </row>
    <row r="4000" spans="1:39" ht="12.75" x14ac:dyDescent="0.2">
      <c r="A4000" s="236"/>
      <c r="B4000" s="236"/>
      <c r="C4000" s="236"/>
      <c r="D4000" s="236"/>
      <c r="E4000" s="237"/>
      <c r="G4000" s="237"/>
      <c r="H4000" s="237"/>
      <c r="I4000" s="237"/>
      <c r="K4000" s="237"/>
      <c r="N4000" s="237"/>
      <c r="O4000" s="237"/>
      <c r="P4000" s="237"/>
      <c r="Q4000" s="237"/>
      <c r="AL4000" s="226"/>
      <c r="AM4000" s="226"/>
    </row>
    <row r="4001" spans="1:39" x14ac:dyDescent="0.25">
      <c r="AA4001" s="237"/>
      <c r="AB4001" s="237"/>
      <c r="AC4001" s="237"/>
      <c r="AD4001" s="237"/>
      <c r="AE4001" s="237"/>
      <c r="AF4001" s="237"/>
      <c r="AG4001" s="237"/>
      <c r="AH4001" s="237"/>
      <c r="AJ4001" s="238"/>
    </row>
    <row r="4002" spans="1:39" x14ac:dyDescent="0.25">
      <c r="AA4002" s="237"/>
      <c r="AB4002" s="237"/>
      <c r="AC4002" s="237"/>
      <c r="AD4002" s="237"/>
      <c r="AE4002" s="237"/>
      <c r="AF4002" s="237"/>
      <c r="AG4002" s="237"/>
      <c r="AH4002" s="237"/>
      <c r="AJ4002" s="238"/>
    </row>
    <row r="4003" spans="1:39" ht="12.75" x14ac:dyDescent="0.2">
      <c r="AL4003" s="226"/>
      <c r="AM4003" s="226"/>
    </row>
    <row r="4004" spans="1:39" ht="12.75" x14ac:dyDescent="0.2">
      <c r="A4004" s="236"/>
      <c r="B4004" s="236"/>
      <c r="C4004" s="236"/>
      <c r="D4004" s="236"/>
      <c r="E4004" s="237"/>
      <c r="G4004" s="237"/>
      <c r="H4004" s="237"/>
      <c r="I4004" s="237"/>
      <c r="K4004" s="237"/>
      <c r="N4004" s="237"/>
      <c r="O4004" s="237"/>
      <c r="P4004" s="237"/>
      <c r="Q4004" s="237"/>
      <c r="AL4004" s="226"/>
      <c r="AM4004" s="226"/>
    </row>
    <row r="4005" spans="1:39" x14ac:dyDescent="0.25">
      <c r="AA4005" s="237"/>
      <c r="AB4005" s="237"/>
      <c r="AC4005" s="237"/>
      <c r="AD4005" s="237"/>
      <c r="AE4005" s="237"/>
      <c r="AF4005" s="237"/>
      <c r="AG4005" s="237"/>
      <c r="AH4005" s="237"/>
      <c r="AJ4005" s="238"/>
    </row>
    <row r="4006" spans="1:39" ht="12.75" x14ac:dyDescent="0.2">
      <c r="AL4006" s="226"/>
      <c r="AM4006" s="226"/>
    </row>
    <row r="4007" spans="1:39" ht="12.75" x14ac:dyDescent="0.2">
      <c r="A4007" s="236"/>
      <c r="B4007" s="236"/>
      <c r="C4007" s="236"/>
      <c r="D4007" s="236"/>
      <c r="E4007" s="237"/>
      <c r="G4007" s="237"/>
      <c r="H4007" s="237"/>
      <c r="I4007" s="237"/>
      <c r="K4007" s="237"/>
      <c r="N4007" s="237"/>
      <c r="O4007" s="237"/>
      <c r="P4007" s="237"/>
      <c r="Q4007" s="237"/>
      <c r="AL4007" s="226"/>
      <c r="AM4007" s="226"/>
    </row>
    <row r="4008" spans="1:39" x14ac:dyDescent="0.25">
      <c r="AA4008" s="237"/>
      <c r="AB4008" s="237"/>
      <c r="AC4008" s="237"/>
      <c r="AD4008" s="237"/>
      <c r="AE4008" s="237"/>
      <c r="AF4008" s="237"/>
      <c r="AG4008" s="237"/>
      <c r="AH4008" s="237"/>
      <c r="AJ4008" s="238"/>
    </row>
    <row r="4009" spans="1:39" ht="12.75" x14ac:dyDescent="0.2">
      <c r="AL4009" s="226"/>
      <c r="AM4009" s="226"/>
    </row>
    <row r="4010" spans="1:39" ht="12.75" x14ac:dyDescent="0.2">
      <c r="A4010" s="236"/>
      <c r="B4010" s="236"/>
      <c r="C4010" s="236"/>
      <c r="D4010" s="236"/>
      <c r="E4010" s="237"/>
      <c r="G4010" s="237"/>
      <c r="H4010" s="237"/>
      <c r="I4010" s="237"/>
      <c r="K4010" s="237"/>
      <c r="N4010" s="237"/>
      <c r="O4010" s="237"/>
      <c r="P4010" s="237"/>
      <c r="Q4010" s="237"/>
      <c r="AL4010" s="226"/>
      <c r="AM4010" s="226"/>
    </row>
    <row r="4011" spans="1:39" x14ac:dyDescent="0.25">
      <c r="AA4011" s="237"/>
      <c r="AB4011" s="237"/>
      <c r="AC4011" s="237"/>
      <c r="AD4011" s="237"/>
      <c r="AE4011" s="237"/>
      <c r="AF4011" s="237"/>
      <c r="AG4011" s="237"/>
      <c r="AH4011" s="237"/>
      <c r="AJ4011" s="238"/>
    </row>
    <row r="4012" spans="1:39" ht="12.75" x14ac:dyDescent="0.2">
      <c r="AL4012" s="226"/>
      <c r="AM4012" s="226"/>
    </row>
    <row r="4013" spans="1:39" ht="12.75" x14ac:dyDescent="0.2">
      <c r="A4013" s="236"/>
      <c r="B4013" s="236"/>
      <c r="C4013" s="236"/>
      <c r="D4013" s="236"/>
      <c r="E4013" s="237"/>
      <c r="G4013" s="237"/>
      <c r="H4013" s="237"/>
      <c r="I4013" s="237"/>
      <c r="K4013" s="237"/>
      <c r="N4013" s="237"/>
      <c r="O4013" s="237"/>
      <c r="P4013" s="237"/>
      <c r="Q4013" s="237"/>
      <c r="AL4013" s="226"/>
      <c r="AM4013" s="226"/>
    </row>
    <row r="4014" spans="1:39" x14ac:dyDescent="0.25">
      <c r="AA4014" s="237"/>
      <c r="AB4014" s="237"/>
      <c r="AC4014" s="237"/>
      <c r="AD4014" s="237"/>
      <c r="AE4014" s="237"/>
      <c r="AF4014" s="237"/>
      <c r="AG4014" s="237"/>
      <c r="AH4014" s="237"/>
      <c r="AJ4014" s="238"/>
    </row>
    <row r="4015" spans="1:39" x14ac:dyDescent="0.25">
      <c r="AA4015" s="237"/>
      <c r="AB4015" s="237"/>
      <c r="AC4015" s="237"/>
      <c r="AD4015" s="237"/>
      <c r="AE4015" s="237"/>
      <c r="AF4015" s="237"/>
      <c r="AG4015" s="237"/>
      <c r="AH4015" s="237"/>
      <c r="AJ4015" s="238"/>
    </row>
    <row r="4016" spans="1:39" ht="12.75" x14ac:dyDescent="0.2">
      <c r="AL4016" s="226"/>
      <c r="AM4016" s="226"/>
    </row>
    <row r="4017" spans="1:39" ht="12.75" x14ac:dyDescent="0.2">
      <c r="A4017" s="236"/>
      <c r="B4017" s="236"/>
      <c r="C4017" s="236"/>
      <c r="D4017" s="236"/>
      <c r="E4017" s="237"/>
      <c r="G4017" s="237"/>
      <c r="H4017" s="237"/>
      <c r="I4017" s="237"/>
      <c r="K4017" s="237"/>
      <c r="N4017" s="237"/>
      <c r="O4017" s="237"/>
      <c r="P4017" s="237"/>
      <c r="Q4017" s="237"/>
      <c r="AL4017" s="226"/>
      <c r="AM4017" s="226"/>
    </row>
    <row r="4018" spans="1:39" x14ac:dyDescent="0.25">
      <c r="AA4018" s="237"/>
      <c r="AB4018" s="237"/>
      <c r="AC4018" s="237"/>
      <c r="AD4018" s="237"/>
      <c r="AE4018" s="237"/>
      <c r="AF4018" s="237"/>
      <c r="AG4018" s="237"/>
      <c r="AH4018" s="237"/>
      <c r="AJ4018" s="238"/>
    </row>
    <row r="4019" spans="1:39" ht="12.75" x14ac:dyDescent="0.2">
      <c r="AL4019" s="226"/>
      <c r="AM4019" s="226"/>
    </row>
    <row r="4020" spans="1:39" ht="12.75" x14ac:dyDescent="0.2">
      <c r="A4020" s="236"/>
      <c r="B4020" s="236"/>
      <c r="C4020" s="236"/>
      <c r="D4020" s="236"/>
      <c r="E4020" s="237"/>
      <c r="G4020" s="237"/>
      <c r="H4020" s="237"/>
      <c r="I4020" s="237"/>
      <c r="K4020" s="237"/>
      <c r="N4020" s="237"/>
      <c r="O4020" s="237"/>
      <c r="P4020" s="237"/>
      <c r="Q4020" s="237"/>
      <c r="AL4020" s="226"/>
      <c r="AM4020" s="226"/>
    </row>
    <row r="4021" spans="1:39" x14ac:dyDescent="0.25">
      <c r="AA4021" s="237"/>
      <c r="AB4021" s="237"/>
      <c r="AC4021" s="237"/>
      <c r="AD4021" s="237"/>
      <c r="AE4021" s="237"/>
      <c r="AF4021" s="237"/>
      <c r="AG4021" s="237"/>
      <c r="AH4021" s="237"/>
      <c r="AJ4021" s="238"/>
    </row>
    <row r="4022" spans="1:39" x14ac:dyDescent="0.25">
      <c r="AA4022" s="237"/>
      <c r="AB4022" s="237"/>
      <c r="AC4022" s="237"/>
      <c r="AD4022" s="237"/>
      <c r="AE4022" s="237"/>
      <c r="AF4022" s="237"/>
      <c r="AG4022" s="237"/>
      <c r="AH4022" s="237"/>
      <c r="AJ4022" s="238"/>
    </row>
    <row r="4023" spans="1:39" x14ac:dyDescent="0.25">
      <c r="AA4023" s="237"/>
      <c r="AB4023" s="237"/>
      <c r="AC4023" s="237"/>
      <c r="AD4023" s="237"/>
      <c r="AE4023" s="237"/>
      <c r="AF4023" s="237"/>
      <c r="AG4023" s="237"/>
      <c r="AH4023" s="237"/>
      <c r="AJ4023" s="238"/>
    </row>
    <row r="4024" spans="1:39" x14ac:dyDescent="0.25">
      <c r="AA4024" s="237"/>
      <c r="AB4024" s="237"/>
      <c r="AC4024" s="237"/>
      <c r="AD4024" s="237"/>
      <c r="AE4024" s="237"/>
      <c r="AF4024" s="237"/>
      <c r="AG4024" s="237"/>
      <c r="AH4024" s="237"/>
      <c r="AJ4024" s="238"/>
    </row>
    <row r="4025" spans="1:39" ht="12.75" x14ac:dyDescent="0.2">
      <c r="AL4025" s="226"/>
      <c r="AM4025" s="226"/>
    </row>
    <row r="4026" spans="1:39" ht="12.75" x14ac:dyDescent="0.2">
      <c r="A4026" s="236"/>
      <c r="B4026" s="236"/>
      <c r="C4026" s="236"/>
      <c r="D4026" s="236"/>
      <c r="E4026" s="237"/>
      <c r="G4026" s="237"/>
      <c r="H4026" s="237"/>
      <c r="I4026" s="237"/>
      <c r="K4026" s="237"/>
      <c r="N4026" s="237"/>
      <c r="O4026" s="237"/>
      <c r="P4026" s="237"/>
      <c r="Q4026" s="237"/>
      <c r="AL4026" s="226"/>
      <c r="AM4026" s="226"/>
    </row>
    <row r="4027" spans="1:39" x14ac:dyDescent="0.25">
      <c r="AA4027" s="237"/>
      <c r="AB4027" s="237"/>
      <c r="AC4027" s="237"/>
      <c r="AD4027" s="237"/>
      <c r="AE4027" s="237"/>
      <c r="AF4027" s="237"/>
      <c r="AG4027" s="237"/>
      <c r="AH4027" s="237"/>
      <c r="AJ4027" s="238"/>
    </row>
    <row r="4028" spans="1:39" x14ac:dyDescent="0.25">
      <c r="AA4028" s="237"/>
      <c r="AB4028" s="237"/>
      <c r="AC4028" s="237"/>
      <c r="AD4028" s="237"/>
      <c r="AE4028" s="237"/>
      <c r="AF4028" s="237"/>
      <c r="AG4028" s="237"/>
      <c r="AH4028" s="237"/>
      <c r="AJ4028" s="238"/>
    </row>
    <row r="4029" spans="1:39" x14ac:dyDescent="0.25">
      <c r="AA4029" s="237"/>
      <c r="AB4029" s="237"/>
      <c r="AC4029" s="237"/>
      <c r="AD4029" s="237"/>
      <c r="AE4029" s="237"/>
      <c r="AF4029" s="237"/>
      <c r="AG4029" s="237"/>
      <c r="AH4029" s="237"/>
      <c r="AJ4029" s="238"/>
    </row>
    <row r="4030" spans="1:39" ht="12.75" x14ac:dyDescent="0.2">
      <c r="AL4030" s="226"/>
      <c r="AM4030" s="226"/>
    </row>
    <row r="4031" spans="1:39" ht="12.75" x14ac:dyDescent="0.2">
      <c r="A4031" s="236"/>
      <c r="B4031" s="236"/>
      <c r="C4031" s="236"/>
      <c r="D4031" s="236"/>
      <c r="E4031" s="237"/>
      <c r="G4031" s="237"/>
      <c r="H4031" s="237"/>
      <c r="I4031" s="237"/>
      <c r="K4031" s="237"/>
      <c r="N4031" s="237"/>
      <c r="O4031" s="237"/>
      <c r="P4031" s="237"/>
      <c r="Q4031" s="237"/>
      <c r="AL4031" s="226"/>
      <c r="AM4031" s="226"/>
    </row>
    <row r="4032" spans="1:39" x14ac:dyDescent="0.25">
      <c r="AA4032" s="237"/>
      <c r="AB4032" s="237"/>
      <c r="AC4032" s="237"/>
      <c r="AD4032" s="237"/>
      <c r="AE4032" s="237"/>
      <c r="AF4032" s="237"/>
      <c r="AG4032" s="237"/>
      <c r="AH4032" s="237"/>
      <c r="AJ4032" s="238"/>
    </row>
    <row r="4033" spans="1:39" x14ac:dyDescent="0.25">
      <c r="AA4033" s="237"/>
      <c r="AB4033" s="237"/>
      <c r="AC4033" s="237"/>
      <c r="AD4033" s="237"/>
      <c r="AE4033" s="237"/>
      <c r="AF4033" s="237"/>
      <c r="AG4033" s="237"/>
      <c r="AH4033" s="237"/>
      <c r="AJ4033" s="238"/>
    </row>
    <row r="4034" spans="1:39" ht="12.75" x14ac:dyDescent="0.2">
      <c r="AL4034" s="226"/>
      <c r="AM4034" s="226"/>
    </row>
    <row r="4035" spans="1:39" ht="12.75" x14ac:dyDescent="0.2">
      <c r="A4035" s="236"/>
      <c r="B4035" s="236"/>
      <c r="C4035" s="236"/>
      <c r="D4035" s="236"/>
      <c r="E4035" s="237"/>
      <c r="G4035" s="237"/>
      <c r="H4035" s="237"/>
      <c r="I4035" s="237"/>
      <c r="K4035" s="237"/>
      <c r="N4035" s="237"/>
      <c r="O4035" s="237"/>
      <c r="P4035" s="237"/>
      <c r="Q4035" s="237"/>
      <c r="AL4035" s="226"/>
      <c r="AM4035" s="226"/>
    </row>
    <row r="4036" spans="1:39" x14ac:dyDescent="0.25">
      <c r="AA4036" s="237"/>
      <c r="AB4036" s="237"/>
      <c r="AC4036" s="237"/>
      <c r="AD4036" s="237"/>
      <c r="AE4036" s="237"/>
      <c r="AF4036" s="237"/>
      <c r="AG4036" s="237"/>
      <c r="AH4036" s="237"/>
      <c r="AJ4036" s="238"/>
    </row>
    <row r="4037" spans="1:39" ht="12.75" x14ac:dyDescent="0.2">
      <c r="AL4037" s="226"/>
      <c r="AM4037" s="226"/>
    </row>
    <row r="4038" spans="1:39" ht="12.75" x14ac:dyDescent="0.2">
      <c r="A4038" s="236"/>
      <c r="B4038" s="236"/>
      <c r="C4038" s="236"/>
      <c r="D4038" s="236"/>
      <c r="E4038" s="237"/>
      <c r="G4038" s="237"/>
      <c r="H4038" s="237"/>
      <c r="I4038" s="237"/>
      <c r="K4038" s="237"/>
      <c r="N4038" s="237"/>
      <c r="O4038" s="237"/>
      <c r="P4038" s="237"/>
      <c r="Q4038" s="237"/>
      <c r="AL4038" s="226"/>
      <c r="AM4038" s="226"/>
    </row>
    <row r="4039" spans="1:39" x14ac:dyDescent="0.25">
      <c r="AA4039" s="237"/>
      <c r="AB4039" s="237"/>
      <c r="AC4039" s="237"/>
      <c r="AD4039" s="237"/>
      <c r="AE4039" s="237"/>
      <c r="AF4039" s="237"/>
      <c r="AG4039" s="237"/>
      <c r="AH4039" s="237"/>
      <c r="AJ4039" s="238"/>
    </row>
    <row r="4040" spans="1:39" ht="12.75" x14ac:dyDescent="0.2">
      <c r="AL4040" s="226"/>
      <c r="AM4040" s="226"/>
    </row>
    <row r="4041" spans="1:39" ht="12.75" x14ac:dyDescent="0.2">
      <c r="A4041" s="236"/>
      <c r="B4041" s="236"/>
      <c r="C4041" s="236"/>
      <c r="D4041" s="236"/>
      <c r="E4041" s="237"/>
      <c r="G4041" s="237"/>
      <c r="H4041" s="237"/>
      <c r="I4041" s="237"/>
      <c r="K4041" s="237"/>
      <c r="N4041" s="237"/>
      <c r="O4041" s="237"/>
      <c r="P4041" s="237"/>
      <c r="Q4041" s="237"/>
      <c r="AL4041" s="226"/>
      <c r="AM4041" s="226"/>
    </row>
    <row r="4042" spans="1:39" x14ac:dyDescent="0.25">
      <c r="AA4042" s="237"/>
      <c r="AB4042" s="237"/>
      <c r="AC4042" s="237"/>
      <c r="AD4042" s="237"/>
      <c r="AE4042" s="237"/>
      <c r="AF4042" s="237"/>
      <c r="AG4042" s="237"/>
      <c r="AH4042" s="237"/>
      <c r="AJ4042" s="238"/>
    </row>
    <row r="4043" spans="1:39" ht="12.75" x14ac:dyDescent="0.2">
      <c r="AL4043" s="226"/>
      <c r="AM4043" s="226"/>
    </row>
    <row r="4044" spans="1:39" ht="12.75" x14ac:dyDescent="0.2">
      <c r="A4044" s="236"/>
      <c r="B4044" s="236"/>
      <c r="C4044" s="236"/>
      <c r="D4044" s="236"/>
      <c r="E4044" s="237"/>
      <c r="G4044" s="237"/>
      <c r="H4044" s="237"/>
      <c r="I4044" s="237"/>
      <c r="K4044" s="237"/>
      <c r="N4044" s="237"/>
      <c r="O4044" s="237"/>
      <c r="P4044" s="237"/>
      <c r="Q4044" s="237"/>
      <c r="AL4044" s="226"/>
      <c r="AM4044" s="226"/>
    </row>
    <row r="4045" spans="1:39" x14ac:dyDescent="0.25">
      <c r="AA4045" s="237"/>
      <c r="AB4045" s="237"/>
      <c r="AC4045" s="237"/>
      <c r="AD4045" s="237"/>
      <c r="AE4045" s="237"/>
      <c r="AF4045" s="237"/>
      <c r="AG4045" s="237"/>
      <c r="AH4045" s="237"/>
      <c r="AJ4045" s="238"/>
    </row>
    <row r="4046" spans="1:39" x14ac:dyDescent="0.25">
      <c r="AA4046" s="237"/>
      <c r="AB4046" s="237"/>
      <c r="AC4046" s="237"/>
      <c r="AD4046" s="237"/>
      <c r="AE4046" s="237"/>
      <c r="AF4046" s="237"/>
      <c r="AG4046" s="237"/>
      <c r="AH4046" s="237"/>
      <c r="AJ4046" s="238"/>
    </row>
    <row r="4047" spans="1:39" x14ac:dyDescent="0.25">
      <c r="AA4047" s="237"/>
      <c r="AB4047" s="237"/>
      <c r="AC4047" s="237"/>
      <c r="AD4047" s="237"/>
      <c r="AE4047" s="237"/>
      <c r="AF4047" s="237"/>
      <c r="AG4047" s="237"/>
      <c r="AH4047" s="237"/>
      <c r="AJ4047" s="238"/>
    </row>
    <row r="4048" spans="1:39" x14ac:dyDescent="0.25">
      <c r="AA4048" s="237"/>
      <c r="AB4048" s="237"/>
      <c r="AC4048" s="237"/>
      <c r="AD4048" s="237"/>
      <c r="AE4048" s="237"/>
      <c r="AF4048" s="237"/>
      <c r="AG4048" s="237"/>
      <c r="AH4048" s="237"/>
      <c r="AJ4048" s="238"/>
    </row>
    <row r="4049" spans="1:39" x14ac:dyDescent="0.25">
      <c r="AA4049" s="237"/>
      <c r="AB4049" s="237"/>
      <c r="AC4049" s="237"/>
      <c r="AD4049" s="237"/>
      <c r="AE4049" s="237"/>
      <c r="AF4049" s="237"/>
      <c r="AG4049" s="237"/>
      <c r="AH4049" s="237"/>
      <c r="AJ4049" s="238"/>
    </row>
    <row r="4050" spans="1:39" ht="12.75" x14ac:dyDescent="0.2">
      <c r="AL4050" s="226"/>
      <c r="AM4050" s="226"/>
    </row>
    <row r="4051" spans="1:39" ht="12.75" x14ac:dyDescent="0.2">
      <c r="A4051" s="236"/>
      <c r="B4051" s="236"/>
      <c r="C4051" s="236"/>
      <c r="D4051" s="236"/>
      <c r="E4051" s="237"/>
      <c r="G4051" s="237"/>
      <c r="H4051" s="237"/>
      <c r="I4051" s="237"/>
      <c r="K4051" s="237"/>
      <c r="N4051" s="237"/>
      <c r="O4051" s="237"/>
      <c r="P4051" s="237"/>
      <c r="Q4051" s="237"/>
      <c r="AL4051" s="226"/>
      <c r="AM4051" s="226"/>
    </row>
    <row r="4052" spans="1:39" x14ac:dyDescent="0.25">
      <c r="AA4052" s="237"/>
      <c r="AB4052" s="237"/>
      <c r="AC4052" s="237"/>
      <c r="AD4052" s="237"/>
      <c r="AE4052" s="237"/>
      <c r="AF4052" s="237"/>
      <c r="AG4052" s="237"/>
      <c r="AH4052" s="237"/>
      <c r="AJ4052" s="238"/>
    </row>
    <row r="4053" spans="1:39" x14ac:dyDescent="0.25">
      <c r="AA4053" s="237"/>
      <c r="AB4053" s="237"/>
      <c r="AC4053" s="237"/>
      <c r="AD4053" s="237"/>
      <c r="AE4053" s="237"/>
      <c r="AF4053" s="237"/>
      <c r="AG4053" s="237"/>
      <c r="AH4053" s="237"/>
      <c r="AJ4053" s="238"/>
    </row>
    <row r="4054" spans="1:39" x14ac:dyDescent="0.25">
      <c r="AA4054" s="237"/>
      <c r="AB4054" s="237"/>
      <c r="AC4054" s="237"/>
      <c r="AD4054" s="237"/>
      <c r="AE4054" s="237"/>
      <c r="AF4054" s="237"/>
      <c r="AG4054" s="237"/>
      <c r="AH4054" s="237"/>
      <c r="AJ4054" s="238"/>
    </row>
    <row r="4055" spans="1:39" ht="12.75" x14ac:dyDescent="0.2">
      <c r="AL4055" s="226"/>
      <c r="AM4055" s="226"/>
    </row>
    <row r="4056" spans="1:39" ht="13.5" thickBot="1" x14ac:dyDescent="0.25">
      <c r="A4056" s="247"/>
      <c r="B4056" s="247"/>
      <c r="C4056" s="247"/>
      <c r="D4056" s="247"/>
      <c r="E4056" s="248"/>
      <c r="F4056" s="249"/>
      <c r="G4056" s="248"/>
      <c r="H4056" s="248"/>
      <c r="I4056" s="248"/>
      <c r="J4056" s="249"/>
      <c r="K4056" s="248"/>
      <c r="L4056" s="249"/>
      <c r="M4056" s="249"/>
      <c r="N4056" s="248"/>
      <c r="O4056" s="248"/>
      <c r="P4056" s="248"/>
      <c r="Q4056" s="248"/>
      <c r="R4056" s="242"/>
      <c r="S4056" s="242"/>
      <c r="T4056" s="242"/>
      <c r="U4056" s="242"/>
      <c r="V4056" s="242"/>
      <c r="W4056" s="242"/>
      <c r="X4056" s="242"/>
      <c r="Y4056" s="242"/>
      <c r="Z4056" s="242"/>
      <c r="AA4056" s="242"/>
      <c r="AB4056" s="242"/>
      <c r="AC4056" s="242"/>
      <c r="AD4056" s="242"/>
      <c r="AE4056" s="242"/>
      <c r="AF4056" s="242"/>
      <c r="AG4056" s="242"/>
      <c r="AH4056" s="242"/>
      <c r="AL4056" s="226"/>
      <c r="AM4056" s="226"/>
    </row>
    <row r="4057" spans="1:39" ht="12.75" x14ac:dyDescent="0.2">
      <c r="A4057" s="236"/>
      <c r="B4057" s="236"/>
      <c r="C4057" s="236"/>
      <c r="D4057" s="236"/>
      <c r="E4057" s="237"/>
      <c r="G4057" s="237"/>
      <c r="H4057" s="237"/>
      <c r="I4057" s="237"/>
      <c r="K4057" s="237"/>
      <c r="N4057" s="237"/>
      <c r="O4057" s="237"/>
      <c r="P4057" s="237"/>
      <c r="Q4057" s="237"/>
      <c r="AL4057" s="226"/>
      <c r="AM4057" s="226"/>
    </row>
    <row r="4058" spans="1:39" x14ac:dyDescent="0.25">
      <c r="AA4058" s="237"/>
      <c r="AB4058" s="237"/>
      <c r="AC4058" s="237"/>
      <c r="AD4058" s="237"/>
      <c r="AE4058" s="237"/>
      <c r="AF4058" s="237"/>
      <c r="AG4058" s="237"/>
      <c r="AH4058" s="237"/>
      <c r="AJ4058" s="238"/>
    </row>
    <row r="4059" spans="1:39" ht="12.75" x14ac:dyDescent="0.2">
      <c r="AL4059" s="226"/>
      <c r="AM4059" s="226"/>
    </row>
    <row r="4060" spans="1:39" ht="12.75" x14ac:dyDescent="0.2">
      <c r="A4060" s="236"/>
      <c r="B4060" s="236"/>
      <c r="C4060" s="236"/>
      <c r="D4060" s="236"/>
      <c r="E4060" s="237"/>
      <c r="G4060" s="237"/>
      <c r="H4060" s="237"/>
      <c r="I4060" s="237"/>
      <c r="K4060" s="237"/>
      <c r="N4060" s="237"/>
      <c r="O4060" s="237"/>
      <c r="P4060" s="237"/>
      <c r="Q4060" s="237"/>
      <c r="AL4060" s="226"/>
      <c r="AM4060" s="226"/>
    </row>
    <row r="4061" spans="1:39" x14ac:dyDescent="0.25">
      <c r="AA4061" s="237"/>
      <c r="AB4061" s="237"/>
      <c r="AC4061" s="237"/>
      <c r="AD4061" s="237"/>
      <c r="AE4061" s="237"/>
      <c r="AF4061" s="237"/>
      <c r="AG4061" s="237"/>
      <c r="AH4061" s="237"/>
      <c r="AJ4061" s="238"/>
    </row>
    <row r="4062" spans="1:39" x14ac:dyDescent="0.25">
      <c r="AA4062" s="237"/>
      <c r="AB4062" s="237"/>
      <c r="AC4062" s="237"/>
      <c r="AD4062" s="237"/>
      <c r="AE4062" s="237"/>
      <c r="AF4062" s="237"/>
      <c r="AG4062" s="237"/>
      <c r="AH4062" s="237"/>
      <c r="AJ4062" s="238"/>
    </row>
    <row r="4063" spans="1:39" ht="12.75" x14ac:dyDescent="0.2">
      <c r="AL4063" s="226"/>
      <c r="AM4063" s="226"/>
    </row>
    <row r="4064" spans="1:39" ht="12.75" x14ac:dyDescent="0.2">
      <c r="A4064" s="236"/>
      <c r="B4064" s="236"/>
      <c r="C4064" s="236"/>
      <c r="D4064" s="236"/>
      <c r="E4064" s="237"/>
      <c r="G4064" s="237"/>
      <c r="H4064" s="237"/>
      <c r="I4064" s="237"/>
      <c r="K4064" s="237"/>
      <c r="N4064" s="237"/>
      <c r="O4064" s="237"/>
      <c r="P4064" s="237"/>
      <c r="Q4064" s="237"/>
      <c r="AL4064" s="226"/>
      <c r="AM4064" s="226"/>
    </row>
    <row r="4065" spans="1:39" x14ac:dyDescent="0.25">
      <c r="AA4065" s="237"/>
      <c r="AB4065" s="237"/>
      <c r="AC4065" s="237"/>
      <c r="AD4065" s="237"/>
      <c r="AE4065" s="237"/>
      <c r="AF4065" s="237"/>
      <c r="AG4065" s="237"/>
      <c r="AH4065" s="237"/>
      <c r="AJ4065" s="238"/>
    </row>
    <row r="4066" spans="1:39" ht="12.75" x14ac:dyDescent="0.2">
      <c r="AL4066" s="226"/>
      <c r="AM4066" s="226"/>
    </row>
    <row r="4067" spans="1:39" ht="12.75" x14ac:dyDescent="0.2">
      <c r="A4067" s="236"/>
      <c r="B4067" s="236"/>
      <c r="C4067" s="236"/>
      <c r="D4067" s="236"/>
      <c r="E4067" s="237"/>
      <c r="G4067" s="237"/>
      <c r="H4067" s="237"/>
      <c r="I4067" s="237"/>
      <c r="K4067" s="237"/>
      <c r="N4067" s="237"/>
      <c r="O4067" s="237"/>
      <c r="P4067" s="237"/>
      <c r="Q4067" s="237"/>
      <c r="AL4067" s="226"/>
      <c r="AM4067" s="226"/>
    </row>
    <row r="4068" spans="1:39" x14ac:dyDescent="0.25">
      <c r="AA4068" s="237"/>
      <c r="AB4068" s="237"/>
      <c r="AC4068" s="237"/>
      <c r="AD4068" s="237"/>
      <c r="AE4068" s="237"/>
      <c r="AF4068" s="237"/>
      <c r="AG4068" s="237"/>
      <c r="AH4068" s="237"/>
      <c r="AJ4068" s="238"/>
    </row>
    <row r="4069" spans="1:39" x14ac:dyDescent="0.25">
      <c r="AA4069" s="237"/>
      <c r="AB4069" s="237"/>
      <c r="AC4069" s="237"/>
      <c r="AD4069" s="237"/>
      <c r="AE4069" s="237"/>
      <c r="AF4069" s="237"/>
      <c r="AG4069" s="237"/>
      <c r="AH4069" s="237"/>
      <c r="AJ4069" s="238"/>
    </row>
    <row r="4070" spans="1:39" ht="12.75" x14ac:dyDescent="0.2">
      <c r="AL4070" s="226"/>
      <c r="AM4070" s="226"/>
    </row>
    <row r="4071" spans="1:39" ht="12.75" x14ac:dyDescent="0.2">
      <c r="A4071" s="236"/>
      <c r="B4071" s="236"/>
      <c r="C4071" s="236"/>
      <c r="D4071" s="236"/>
      <c r="E4071" s="237"/>
      <c r="G4071" s="237"/>
      <c r="H4071" s="237"/>
      <c r="I4071" s="237"/>
      <c r="K4071" s="237"/>
      <c r="N4071" s="237"/>
      <c r="O4071" s="237"/>
      <c r="P4071" s="237"/>
      <c r="Q4071" s="237"/>
      <c r="AL4071" s="226"/>
      <c r="AM4071" s="226"/>
    </row>
    <row r="4072" spans="1:39" x14ac:dyDescent="0.25">
      <c r="AA4072" s="237"/>
      <c r="AB4072" s="237"/>
      <c r="AC4072" s="237"/>
      <c r="AD4072" s="237"/>
      <c r="AE4072" s="237"/>
      <c r="AF4072" s="237"/>
      <c r="AG4072" s="237"/>
      <c r="AH4072" s="237"/>
      <c r="AJ4072" s="238"/>
    </row>
    <row r="4073" spans="1:39" x14ac:dyDescent="0.25">
      <c r="AA4073" s="237"/>
      <c r="AB4073" s="237"/>
      <c r="AC4073" s="237"/>
      <c r="AD4073" s="237"/>
      <c r="AE4073" s="237"/>
      <c r="AF4073" s="237"/>
      <c r="AG4073" s="237"/>
      <c r="AH4073" s="237"/>
      <c r="AJ4073" s="238"/>
    </row>
    <row r="4074" spans="1:39" x14ac:dyDescent="0.25">
      <c r="AA4074" s="237"/>
      <c r="AB4074" s="237"/>
      <c r="AC4074" s="237"/>
      <c r="AD4074" s="237"/>
      <c r="AE4074" s="237"/>
      <c r="AF4074" s="237"/>
      <c r="AG4074" s="237"/>
      <c r="AH4074" s="237"/>
      <c r="AJ4074" s="238"/>
    </row>
    <row r="4075" spans="1:39" x14ac:dyDescent="0.25">
      <c r="AA4075" s="237"/>
      <c r="AB4075" s="237"/>
      <c r="AC4075" s="237"/>
      <c r="AD4075" s="237"/>
      <c r="AE4075" s="237"/>
      <c r="AF4075" s="237"/>
      <c r="AG4075" s="237"/>
      <c r="AH4075" s="237"/>
      <c r="AJ4075" s="238"/>
    </row>
    <row r="4076" spans="1:39" x14ac:dyDescent="0.25">
      <c r="AA4076" s="237"/>
      <c r="AB4076" s="237"/>
      <c r="AC4076" s="237"/>
      <c r="AD4076" s="237"/>
      <c r="AE4076" s="237"/>
      <c r="AF4076" s="237"/>
      <c r="AG4076" s="237"/>
      <c r="AH4076" s="237"/>
      <c r="AJ4076" s="238"/>
    </row>
    <row r="4077" spans="1:39" x14ac:dyDescent="0.25">
      <c r="AA4077" s="237"/>
      <c r="AB4077" s="237"/>
      <c r="AC4077" s="237"/>
      <c r="AD4077" s="237"/>
      <c r="AE4077" s="237"/>
      <c r="AF4077" s="237"/>
      <c r="AG4077" s="237"/>
      <c r="AH4077" s="237"/>
      <c r="AJ4077" s="238"/>
    </row>
    <row r="4078" spans="1:39" ht="12.75" x14ac:dyDescent="0.2">
      <c r="AL4078" s="226"/>
      <c r="AM4078" s="226"/>
    </row>
    <row r="4079" spans="1:39" ht="12.75" x14ac:dyDescent="0.2">
      <c r="A4079" s="236"/>
      <c r="B4079" s="236"/>
      <c r="C4079" s="236"/>
      <c r="D4079" s="236"/>
      <c r="E4079" s="237"/>
      <c r="G4079" s="237"/>
      <c r="H4079" s="237"/>
      <c r="I4079" s="237"/>
      <c r="K4079" s="237"/>
      <c r="N4079" s="237"/>
      <c r="O4079" s="237"/>
      <c r="P4079" s="237"/>
      <c r="Q4079" s="237"/>
      <c r="AL4079" s="226"/>
      <c r="AM4079" s="226"/>
    </row>
    <row r="4080" spans="1:39" x14ac:dyDescent="0.25">
      <c r="AA4080" s="237"/>
      <c r="AB4080" s="237"/>
      <c r="AC4080" s="237"/>
      <c r="AD4080" s="237"/>
      <c r="AE4080" s="237"/>
      <c r="AF4080" s="237"/>
      <c r="AG4080" s="237"/>
      <c r="AH4080" s="237"/>
      <c r="AJ4080" s="238"/>
    </row>
    <row r="4081" spans="1:39" ht="12.75" x14ac:dyDescent="0.2">
      <c r="AL4081" s="226"/>
      <c r="AM4081" s="226"/>
    </row>
    <row r="4082" spans="1:39" ht="12.75" x14ac:dyDescent="0.2">
      <c r="A4082" s="236"/>
      <c r="B4082" s="236"/>
      <c r="C4082" s="236"/>
      <c r="D4082" s="236"/>
      <c r="E4082" s="237"/>
      <c r="G4082" s="237"/>
      <c r="H4082" s="237"/>
      <c r="I4082" s="237"/>
      <c r="K4082" s="237"/>
      <c r="N4082" s="237"/>
      <c r="O4082" s="237"/>
      <c r="P4082" s="237"/>
      <c r="Q4082" s="237"/>
      <c r="AL4082" s="226"/>
      <c r="AM4082" s="226"/>
    </row>
    <row r="4083" spans="1:39" x14ac:dyDescent="0.25">
      <c r="AA4083" s="237"/>
      <c r="AB4083" s="237"/>
      <c r="AC4083" s="237"/>
      <c r="AD4083" s="237"/>
      <c r="AE4083" s="237"/>
      <c r="AF4083" s="237"/>
      <c r="AG4083" s="237"/>
      <c r="AH4083" s="237"/>
      <c r="AJ4083" s="238"/>
    </row>
    <row r="4084" spans="1:39" ht="12.75" x14ac:dyDescent="0.2">
      <c r="AL4084" s="226"/>
      <c r="AM4084" s="226"/>
    </row>
    <row r="4085" spans="1:39" ht="12.75" x14ac:dyDescent="0.2">
      <c r="A4085" s="236"/>
      <c r="B4085" s="236"/>
      <c r="C4085" s="236"/>
      <c r="D4085" s="236"/>
      <c r="E4085" s="237"/>
      <c r="G4085" s="237"/>
      <c r="H4085" s="237"/>
      <c r="I4085" s="237"/>
      <c r="K4085" s="237"/>
      <c r="N4085" s="237"/>
      <c r="O4085" s="237"/>
      <c r="P4085" s="237"/>
      <c r="Q4085" s="237"/>
      <c r="AL4085" s="226"/>
      <c r="AM4085" s="226"/>
    </row>
    <row r="4086" spans="1:39" x14ac:dyDescent="0.25">
      <c r="AA4086" s="237"/>
      <c r="AB4086" s="237"/>
      <c r="AC4086" s="237"/>
      <c r="AD4086" s="237"/>
      <c r="AE4086" s="237"/>
      <c r="AF4086" s="237"/>
      <c r="AG4086" s="237"/>
      <c r="AH4086" s="237"/>
      <c r="AJ4086" s="238"/>
    </row>
    <row r="4087" spans="1:39" x14ac:dyDescent="0.25">
      <c r="AA4087" s="237"/>
      <c r="AB4087" s="237"/>
      <c r="AC4087" s="237"/>
      <c r="AD4087" s="237"/>
      <c r="AE4087" s="237"/>
      <c r="AF4087" s="237"/>
      <c r="AG4087" s="237"/>
      <c r="AH4087" s="237"/>
      <c r="AJ4087" s="238"/>
    </row>
    <row r="4088" spans="1:39" x14ac:dyDescent="0.25">
      <c r="AA4088" s="237"/>
      <c r="AB4088" s="237"/>
      <c r="AC4088" s="237"/>
      <c r="AD4088" s="237"/>
      <c r="AE4088" s="237"/>
      <c r="AF4088" s="237"/>
      <c r="AG4088" s="237"/>
      <c r="AH4088" s="237"/>
      <c r="AJ4088" s="238"/>
    </row>
    <row r="4089" spans="1:39" ht="12.75" x14ac:dyDescent="0.2">
      <c r="AL4089" s="226"/>
      <c r="AM4089" s="226"/>
    </row>
    <row r="4090" spans="1:39" ht="12.75" x14ac:dyDescent="0.2">
      <c r="A4090" s="236"/>
      <c r="B4090" s="236"/>
      <c r="C4090" s="236"/>
      <c r="D4090" s="236"/>
      <c r="E4090" s="237"/>
      <c r="G4090" s="237"/>
      <c r="H4090" s="237"/>
      <c r="I4090" s="237"/>
      <c r="K4090" s="237"/>
      <c r="N4090" s="237"/>
      <c r="O4090" s="237"/>
      <c r="P4090" s="237"/>
      <c r="Q4090" s="237"/>
      <c r="AL4090" s="226"/>
      <c r="AM4090" s="226"/>
    </row>
    <row r="4091" spans="1:39" x14ac:dyDescent="0.25">
      <c r="AA4091" s="237"/>
      <c r="AB4091" s="237"/>
      <c r="AC4091" s="237"/>
      <c r="AD4091" s="237"/>
      <c r="AE4091" s="237"/>
      <c r="AF4091" s="237"/>
      <c r="AG4091" s="237"/>
      <c r="AH4091" s="237"/>
      <c r="AJ4091" s="238"/>
    </row>
    <row r="4092" spans="1:39" ht="12.75" x14ac:dyDescent="0.2">
      <c r="AL4092" s="226"/>
      <c r="AM4092" s="226"/>
    </row>
    <row r="4093" spans="1:39" ht="12.75" x14ac:dyDescent="0.2">
      <c r="A4093" s="236"/>
      <c r="B4093" s="236"/>
      <c r="C4093" s="236"/>
      <c r="D4093" s="236"/>
      <c r="E4093" s="237"/>
      <c r="G4093" s="237"/>
      <c r="H4093" s="237"/>
      <c r="I4093" s="237"/>
      <c r="K4093" s="237"/>
      <c r="N4093" s="237"/>
      <c r="O4093" s="237"/>
      <c r="P4093" s="237"/>
      <c r="Q4093" s="237"/>
      <c r="AL4093" s="226"/>
      <c r="AM4093" s="226"/>
    </row>
    <row r="4094" spans="1:39" x14ac:dyDescent="0.25">
      <c r="AA4094" s="237"/>
      <c r="AB4094" s="237"/>
      <c r="AC4094" s="237"/>
      <c r="AD4094" s="237"/>
      <c r="AE4094" s="237"/>
      <c r="AF4094" s="237"/>
      <c r="AG4094" s="237"/>
      <c r="AH4094" s="237"/>
      <c r="AJ4094" s="238"/>
    </row>
    <row r="4095" spans="1:39" x14ac:dyDescent="0.25">
      <c r="AA4095" s="237"/>
      <c r="AB4095" s="237"/>
      <c r="AC4095" s="237"/>
      <c r="AD4095" s="237"/>
      <c r="AE4095" s="237"/>
      <c r="AF4095" s="237"/>
      <c r="AG4095" s="237"/>
      <c r="AH4095" s="237"/>
      <c r="AJ4095" s="238"/>
    </row>
    <row r="4096" spans="1:39" x14ac:dyDescent="0.25">
      <c r="AA4096" s="237"/>
      <c r="AB4096" s="237"/>
      <c r="AC4096" s="237"/>
      <c r="AD4096" s="237"/>
      <c r="AE4096" s="237"/>
      <c r="AF4096" s="237"/>
      <c r="AG4096" s="237"/>
      <c r="AH4096" s="237"/>
      <c r="AJ4096" s="238"/>
    </row>
    <row r="4097" spans="1:39" x14ac:dyDescent="0.25">
      <c r="AA4097" s="237"/>
      <c r="AB4097" s="237"/>
      <c r="AC4097" s="237"/>
      <c r="AD4097" s="237"/>
      <c r="AE4097" s="237"/>
      <c r="AF4097" s="237"/>
      <c r="AG4097" s="237"/>
      <c r="AH4097" s="237"/>
      <c r="AJ4097" s="238"/>
    </row>
    <row r="4098" spans="1:39" ht="12.75" x14ac:dyDescent="0.2">
      <c r="AL4098" s="226"/>
      <c r="AM4098" s="226"/>
    </row>
    <row r="4099" spans="1:39" ht="12.75" x14ac:dyDescent="0.2">
      <c r="A4099" s="236"/>
      <c r="B4099" s="236"/>
      <c r="C4099" s="236"/>
      <c r="D4099" s="236"/>
      <c r="E4099" s="237"/>
      <c r="G4099" s="237"/>
      <c r="H4099" s="237"/>
      <c r="I4099" s="237"/>
      <c r="K4099" s="237"/>
      <c r="N4099" s="237"/>
      <c r="O4099" s="237"/>
      <c r="P4099" s="237"/>
      <c r="Q4099" s="237"/>
      <c r="AL4099" s="226"/>
      <c r="AM4099" s="226"/>
    </row>
    <row r="4100" spans="1:39" x14ac:dyDescent="0.25">
      <c r="AA4100" s="237"/>
      <c r="AB4100" s="237"/>
      <c r="AC4100" s="237"/>
      <c r="AD4100" s="237"/>
      <c r="AE4100" s="237"/>
      <c r="AF4100" s="237"/>
      <c r="AG4100" s="237"/>
      <c r="AH4100" s="237"/>
      <c r="AJ4100" s="238"/>
    </row>
    <row r="4101" spans="1:39" x14ac:dyDescent="0.25">
      <c r="AA4101" s="237"/>
      <c r="AB4101" s="237"/>
      <c r="AC4101" s="237"/>
      <c r="AD4101" s="237"/>
      <c r="AE4101" s="237"/>
      <c r="AF4101" s="237"/>
      <c r="AG4101" s="237"/>
      <c r="AH4101" s="237"/>
      <c r="AJ4101" s="238"/>
    </row>
    <row r="4102" spans="1:39" ht="12.75" x14ac:dyDescent="0.2">
      <c r="AL4102" s="226"/>
      <c r="AM4102" s="226"/>
    </row>
    <row r="4103" spans="1:39" ht="12.75" x14ac:dyDescent="0.2">
      <c r="A4103" s="236"/>
      <c r="B4103" s="236"/>
      <c r="C4103" s="236"/>
      <c r="D4103" s="236"/>
      <c r="E4103" s="237"/>
      <c r="G4103" s="237"/>
      <c r="H4103" s="237"/>
      <c r="I4103" s="237"/>
      <c r="K4103" s="237"/>
      <c r="N4103" s="237"/>
      <c r="O4103" s="237"/>
      <c r="P4103" s="237"/>
      <c r="Q4103" s="237"/>
      <c r="AL4103" s="226"/>
      <c r="AM4103" s="226"/>
    </row>
    <row r="4104" spans="1:39" x14ac:dyDescent="0.25">
      <c r="AA4104" s="237"/>
      <c r="AB4104" s="237"/>
      <c r="AC4104" s="237"/>
      <c r="AD4104" s="237"/>
      <c r="AE4104" s="237"/>
      <c r="AF4104" s="237"/>
      <c r="AG4104" s="237"/>
      <c r="AH4104" s="237"/>
      <c r="AJ4104" s="238"/>
    </row>
    <row r="4105" spans="1:39" ht="12.75" x14ac:dyDescent="0.2">
      <c r="AL4105" s="226"/>
      <c r="AM4105" s="226"/>
    </row>
    <row r="4106" spans="1:39" ht="12.75" x14ac:dyDescent="0.2">
      <c r="A4106" s="236"/>
      <c r="B4106" s="236"/>
      <c r="C4106" s="236"/>
      <c r="D4106" s="236"/>
      <c r="E4106" s="237"/>
      <c r="G4106" s="237"/>
      <c r="H4106" s="237"/>
      <c r="I4106" s="237"/>
      <c r="K4106" s="237"/>
      <c r="N4106" s="237"/>
      <c r="O4106" s="237"/>
      <c r="P4106" s="237"/>
      <c r="Q4106" s="237"/>
      <c r="AL4106" s="226"/>
      <c r="AM4106" s="226"/>
    </row>
    <row r="4107" spans="1:39" x14ac:dyDescent="0.25">
      <c r="AA4107" s="237"/>
      <c r="AB4107" s="237"/>
      <c r="AC4107" s="237"/>
      <c r="AD4107" s="237"/>
      <c r="AE4107" s="237"/>
      <c r="AF4107" s="237"/>
      <c r="AG4107" s="237"/>
      <c r="AH4107" s="237"/>
      <c r="AJ4107" s="238"/>
    </row>
    <row r="4108" spans="1:39" x14ac:dyDescent="0.25">
      <c r="AA4108" s="237"/>
      <c r="AB4108" s="237"/>
      <c r="AC4108" s="237"/>
      <c r="AD4108" s="237"/>
      <c r="AE4108" s="237"/>
      <c r="AF4108" s="237"/>
      <c r="AG4108" s="237"/>
      <c r="AH4108" s="237"/>
      <c r="AJ4108" s="238"/>
    </row>
    <row r="4109" spans="1:39" ht="12.75" x14ac:dyDescent="0.2">
      <c r="AL4109" s="226"/>
      <c r="AM4109" s="226"/>
    </row>
    <row r="4110" spans="1:39" ht="12.75" x14ac:dyDescent="0.2">
      <c r="A4110" s="236"/>
      <c r="B4110" s="236"/>
      <c r="C4110" s="236"/>
      <c r="D4110" s="236"/>
      <c r="E4110" s="237"/>
      <c r="G4110" s="237"/>
      <c r="H4110" s="237"/>
      <c r="I4110" s="237"/>
      <c r="K4110" s="237"/>
      <c r="N4110" s="237"/>
      <c r="O4110" s="237"/>
      <c r="P4110" s="237"/>
      <c r="Q4110" s="237"/>
      <c r="AL4110" s="226"/>
      <c r="AM4110" s="226"/>
    </row>
    <row r="4111" spans="1:39" x14ac:dyDescent="0.25">
      <c r="AA4111" s="237"/>
      <c r="AB4111" s="237"/>
      <c r="AC4111" s="237"/>
      <c r="AD4111" s="237"/>
      <c r="AE4111" s="237"/>
      <c r="AF4111" s="237"/>
      <c r="AG4111" s="237"/>
      <c r="AH4111" s="237"/>
      <c r="AJ4111" s="238"/>
    </row>
    <row r="4112" spans="1:39" x14ac:dyDescent="0.25">
      <c r="AA4112" s="237"/>
      <c r="AB4112" s="237"/>
      <c r="AC4112" s="237"/>
      <c r="AD4112" s="237"/>
      <c r="AE4112" s="237"/>
      <c r="AF4112" s="237"/>
      <c r="AG4112" s="237"/>
      <c r="AH4112" s="237"/>
      <c r="AJ4112" s="238"/>
    </row>
    <row r="4113" spans="1:39" x14ac:dyDescent="0.25">
      <c r="AA4113" s="237"/>
      <c r="AB4113" s="237"/>
      <c r="AC4113" s="237"/>
      <c r="AD4113" s="237"/>
      <c r="AE4113" s="237"/>
      <c r="AF4113" s="237"/>
      <c r="AG4113" s="237"/>
      <c r="AH4113" s="237"/>
      <c r="AJ4113" s="238"/>
    </row>
    <row r="4114" spans="1:39" ht="12.75" x14ac:dyDescent="0.2">
      <c r="AL4114" s="226"/>
      <c r="AM4114" s="226"/>
    </row>
    <row r="4115" spans="1:39" ht="12.75" x14ac:dyDescent="0.2">
      <c r="A4115" s="236"/>
      <c r="B4115" s="236"/>
      <c r="C4115" s="236"/>
      <c r="D4115" s="236"/>
      <c r="E4115" s="237"/>
      <c r="G4115" s="237"/>
      <c r="H4115" s="237"/>
      <c r="I4115" s="237"/>
      <c r="K4115" s="237"/>
      <c r="N4115" s="237"/>
      <c r="O4115" s="237"/>
      <c r="P4115" s="237"/>
      <c r="Q4115" s="237"/>
      <c r="AL4115" s="226"/>
      <c r="AM4115" s="226"/>
    </row>
    <row r="4116" spans="1:39" x14ac:dyDescent="0.25">
      <c r="AA4116" s="237"/>
      <c r="AB4116" s="237"/>
      <c r="AC4116" s="237"/>
      <c r="AD4116" s="237"/>
      <c r="AE4116" s="237"/>
      <c r="AF4116" s="237"/>
      <c r="AG4116" s="237"/>
      <c r="AH4116" s="237"/>
      <c r="AJ4116" s="238"/>
    </row>
    <row r="4117" spans="1:39" x14ac:dyDescent="0.25">
      <c r="AA4117" s="237"/>
      <c r="AB4117" s="237"/>
      <c r="AC4117" s="237"/>
      <c r="AD4117" s="237"/>
      <c r="AE4117" s="237"/>
      <c r="AF4117" s="237"/>
      <c r="AG4117" s="237"/>
      <c r="AH4117" s="237"/>
      <c r="AJ4117" s="238"/>
    </row>
    <row r="4118" spans="1:39" x14ac:dyDescent="0.25">
      <c r="AA4118" s="237"/>
      <c r="AB4118" s="237"/>
      <c r="AC4118" s="237"/>
      <c r="AD4118" s="237"/>
      <c r="AE4118" s="237"/>
      <c r="AF4118" s="237"/>
      <c r="AG4118" s="237"/>
      <c r="AH4118" s="237"/>
      <c r="AJ4118" s="238"/>
    </row>
    <row r="4119" spans="1:39" x14ac:dyDescent="0.25">
      <c r="AA4119" s="237"/>
      <c r="AB4119" s="237"/>
      <c r="AC4119" s="237"/>
      <c r="AD4119" s="237"/>
      <c r="AE4119" s="237"/>
      <c r="AF4119" s="237"/>
      <c r="AG4119" s="237"/>
      <c r="AH4119" s="237"/>
      <c r="AJ4119" s="238"/>
    </row>
    <row r="4120" spans="1:39" x14ac:dyDescent="0.25">
      <c r="AA4120" s="237"/>
      <c r="AB4120" s="237"/>
      <c r="AC4120" s="237"/>
      <c r="AD4120" s="237"/>
      <c r="AE4120" s="237"/>
      <c r="AF4120" s="237"/>
      <c r="AG4120" s="237"/>
      <c r="AH4120" s="237"/>
      <c r="AJ4120" s="238"/>
    </row>
    <row r="4121" spans="1:39" x14ac:dyDescent="0.25">
      <c r="AA4121" s="237"/>
      <c r="AB4121" s="237"/>
      <c r="AC4121" s="237"/>
      <c r="AD4121" s="237"/>
      <c r="AE4121" s="237"/>
      <c r="AF4121" s="237"/>
      <c r="AG4121" s="237"/>
      <c r="AH4121" s="237"/>
      <c r="AJ4121" s="238"/>
    </row>
    <row r="4122" spans="1:39" ht="12.75" x14ac:dyDescent="0.2">
      <c r="AL4122" s="226"/>
      <c r="AM4122" s="226"/>
    </row>
    <row r="4123" spans="1:39" ht="12.75" x14ac:dyDescent="0.2">
      <c r="A4123" s="236"/>
      <c r="B4123" s="236"/>
      <c r="C4123" s="236"/>
      <c r="D4123" s="236"/>
      <c r="E4123" s="237"/>
      <c r="G4123" s="237"/>
      <c r="H4123" s="237"/>
      <c r="I4123" s="237"/>
      <c r="K4123" s="237"/>
      <c r="N4123" s="237"/>
      <c r="O4123" s="237"/>
      <c r="P4123" s="237"/>
      <c r="Q4123" s="237"/>
      <c r="AL4123" s="226"/>
      <c r="AM4123" s="226"/>
    </row>
    <row r="4124" spans="1:39" x14ac:dyDescent="0.25">
      <c r="AA4124" s="237"/>
      <c r="AB4124" s="237"/>
      <c r="AC4124" s="237"/>
      <c r="AD4124" s="237"/>
      <c r="AE4124" s="237"/>
      <c r="AF4124" s="237"/>
      <c r="AG4124" s="237"/>
      <c r="AH4124" s="237"/>
      <c r="AJ4124" s="238"/>
    </row>
    <row r="4125" spans="1:39" x14ac:dyDescent="0.25">
      <c r="AA4125" s="237"/>
      <c r="AB4125" s="237"/>
      <c r="AC4125" s="237"/>
      <c r="AD4125" s="237"/>
      <c r="AE4125" s="237"/>
      <c r="AF4125" s="237"/>
      <c r="AG4125" s="237"/>
      <c r="AH4125" s="237"/>
      <c r="AJ4125" s="238"/>
    </row>
    <row r="4126" spans="1:39" ht="12.75" x14ac:dyDescent="0.2">
      <c r="AL4126" s="226"/>
      <c r="AM4126" s="226"/>
    </row>
    <row r="4127" spans="1:39" ht="12.75" x14ac:dyDescent="0.2">
      <c r="A4127" s="236"/>
      <c r="B4127" s="236"/>
      <c r="C4127" s="236"/>
      <c r="D4127" s="236"/>
      <c r="E4127" s="237"/>
      <c r="G4127" s="237"/>
      <c r="H4127" s="237"/>
      <c r="I4127" s="237"/>
      <c r="K4127" s="237"/>
      <c r="N4127" s="237"/>
      <c r="O4127" s="237"/>
      <c r="P4127" s="237"/>
      <c r="Q4127" s="237"/>
      <c r="AL4127" s="226"/>
      <c r="AM4127" s="226"/>
    </row>
    <row r="4128" spans="1:39" x14ac:dyDescent="0.25">
      <c r="AA4128" s="237"/>
      <c r="AB4128" s="237"/>
      <c r="AC4128" s="237"/>
      <c r="AD4128" s="237"/>
      <c r="AE4128" s="237"/>
      <c r="AF4128" s="237"/>
      <c r="AG4128" s="237"/>
      <c r="AH4128" s="237"/>
      <c r="AJ4128" s="238"/>
    </row>
    <row r="4129" spans="1:39" ht="12.75" x14ac:dyDescent="0.2">
      <c r="AL4129" s="226"/>
      <c r="AM4129" s="226"/>
    </row>
    <row r="4130" spans="1:39" ht="12.75" x14ac:dyDescent="0.2">
      <c r="A4130" s="236"/>
      <c r="B4130" s="236"/>
      <c r="C4130" s="236"/>
      <c r="D4130" s="236"/>
      <c r="E4130" s="237"/>
      <c r="G4130" s="237"/>
      <c r="H4130" s="237"/>
      <c r="I4130" s="237"/>
      <c r="K4130" s="237"/>
      <c r="N4130" s="237"/>
      <c r="O4130" s="237"/>
      <c r="P4130" s="237"/>
      <c r="Q4130" s="237"/>
      <c r="AL4130" s="226"/>
      <c r="AM4130" s="226"/>
    </row>
    <row r="4131" spans="1:39" x14ac:dyDescent="0.25">
      <c r="AA4131" s="237"/>
      <c r="AB4131" s="237"/>
      <c r="AC4131" s="237"/>
      <c r="AD4131" s="237"/>
      <c r="AE4131" s="237"/>
      <c r="AF4131" s="237"/>
      <c r="AG4131" s="237"/>
      <c r="AH4131" s="237"/>
      <c r="AJ4131" s="238"/>
    </row>
    <row r="4132" spans="1:39" ht="12.75" x14ac:dyDescent="0.2">
      <c r="AL4132" s="226"/>
      <c r="AM4132" s="226"/>
    </row>
    <row r="4133" spans="1:39" ht="12.75" x14ac:dyDescent="0.2">
      <c r="A4133" s="236"/>
      <c r="B4133" s="236"/>
      <c r="C4133" s="236"/>
      <c r="D4133" s="236"/>
      <c r="E4133" s="237"/>
      <c r="G4133" s="237"/>
      <c r="H4133" s="237"/>
      <c r="I4133" s="237"/>
      <c r="K4133" s="237"/>
      <c r="N4133" s="237"/>
      <c r="O4133" s="237"/>
      <c r="P4133" s="237"/>
      <c r="Q4133" s="237"/>
      <c r="AL4133" s="226"/>
      <c r="AM4133" s="226"/>
    </row>
    <row r="4134" spans="1:39" x14ac:dyDescent="0.25">
      <c r="AA4134" s="237"/>
      <c r="AB4134" s="237"/>
      <c r="AC4134" s="237"/>
      <c r="AD4134" s="237"/>
      <c r="AE4134" s="237"/>
      <c r="AF4134" s="237"/>
      <c r="AG4134" s="237"/>
      <c r="AH4134" s="237"/>
      <c r="AJ4134" s="238"/>
    </row>
    <row r="4135" spans="1:39" x14ac:dyDescent="0.25">
      <c r="AA4135" s="237"/>
      <c r="AB4135" s="237"/>
      <c r="AC4135" s="237"/>
      <c r="AD4135" s="237"/>
      <c r="AE4135" s="237"/>
      <c r="AF4135" s="237"/>
      <c r="AG4135" s="237"/>
      <c r="AH4135" s="237"/>
      <c r="AJ4135" s="238"/>
    </row>
    <row r="4136" spans="1:39" x14ac:dyDescent="0.25">
      <c r="AA4136" s="237"/>
      <c r="AB4136" s="237"/>
      <c r="AC4136" s="237"/>
      <c r="AD4136" s="237"/>
      <c r="AE4136" s="237"/>
      <c r="AF4136" s="237"/>
      <c r="AG4136" s="237"/>
      <c r="AH4136" s="237"/>
      <c r="AJ4136" s="238"/>
    </row>
    <row r="4137" spans="1:39" x14ac:dyDescent="0.25">
      <c r="AA4137" s="237"/>
      <c r="AB4137" s="237"/>
      <c r="AC4137" s="237"/>
      <c r="AD4137" s="237"/>
      <c r="AE4137" s="237"/>
      <c r="AF4137" s="237"/>
      <c r="AG4137" s="237"/>
      <c r="AH4137" s="237"/>
      <c r="AJ4137" s="238"/>
    </row>
    <row r="4138" spans="1:39" x14ac:dyDescent="0.25">
      <c r="AA4138" s="237"/>
      <c r="AB4138" s="237"/>
      <c r="AC4138" s="237"/>
      <c r="AD4138" s="237"/>
      <c r="AE4138" s="237"/>
      <c r="AF4138" s="237"/>
      <c r="AG4138" s="237"/>
      <c r="AH4138" s="237"/>
      <c r="AJ4138" s="238"/>
    </row>
    <row r="4139" spans="1:39" x14ac:dyDescent="0.25">
      <c r="AA4139" s="237"/>
      <c r="AB4139" s="237"/>
      <c r="AC4139" s="237"/>
      <c r="AD4139" s="237"/>
      <c r="AE4139" s="237"/>
      <c r="AF4139" s="237"/>
      <c r="AG4139" s="237"/>
      <c r="AH4139" s="237"/>
      <c r="AJ4139" s="238"/>
    </row>
    <row r="4140" spans="1:39" ht="12.75" x14ac:dyDescent="0.2">
      <c r="AL4140" s="226"/>
      <c r="AM4140" s="226"/>
    </row>
    <row r="4141" spans="1:39" ht="12.75" x14ac:dyDescent="0.2">
      <c r="A4141" s="236"/>
      <c r="B4141" s="236"/>
      <c r="C4141" s="236"/>
      <c r="D4141" s="236"/>
      <c r="E4141" s="237"/>
      <c r="G4141" s="237"/>
      <c r="H4141" s="237"/>
      <c r="I4141" s="237"/>
      <c r="K4141" s="237"/>
      <c r="N4141" s="237"/>
      <c r="O4141" s="237"/>
      <c r="P4141" s="237"/>
      <c r="Q4141" s="237"/>
      <c r="AL4141" s="226"/>
      <c r="AM4141" s="226"/>
    </row>
    <row r="4142" spans="1:39" x14ac:dyDescent="0.25">
      <c r="T4142" s="240"/>
      <c r="U4142" s="240"/>
      <c r="V4142" s="240"/>
      <c r="W4142" s="240"/>
      <c r="Y4142" s="240"/>
      <c r="Z4142" s="240"/>
      <c r="AA4142" s="241"/>
      <c r="AB4142" s="241"/>
      <c r="AC4142" s="241"/>
      <c r="AD4142" s="241"/>
      <c r="AE4142" s="241"/>
      <c r="AF4142" s="241"/>
      <c r="AG4142" s="241"/>
      <c r="AH4142" s="241"/>
      <c r="AJ4142" s="238"/>
    </row>
    <row r="4143" spans="1:39" ht="12.75" x14ac:dyDescent="0.2">
      <c r="AL4143" s="226"/>
      <c r="AM4143" s="226"/>
    </row>
    <row r="4144" spans="1:39" ht="12.75" x14ac:dyDescent="0.2">
      <c r="A4144" s="236"/>
      <c r="B4144" s="236"/>
      <c r="C4144" s="236"/>
      <c r="D4144" s="236"/>
      <c r="E4144" s="237"/>
      <c r="G4144" s="237"/>
      <c r="H4144" s="237"/>
      <c r="I4144" s="237"/>
      <c r="K4144" s="237"/>
      <c r="N4144" s="237"/>
      <c r="O4144" s="237"/>
      <c r="P4144" s="237"/>
      <c r="Q4144" s="237"/>
      <c r="AL4144" s="226"/>
      <c r="AM4144" s="226"/>
    </row>
    <row r="4145" spans="1:39" x14ac:dyDescent="0.25">
      <c r="AA4145" s="237"/>
      <c r="AB4145" s="237"/>
      <c r="AC4145" s="237"/>
      <c r="AD4145" s="237"/>
      <c r="AE4145" s="237"/>
      <c r="AF4145" s="237"/>
      <c r="AG4145" s="237"/>
      <c r="AH4145" s="237"/>
      <c r="AJ4145" s="238"/>
    </row>
    <row r="4146" spans="1:39" x14ac:dyDescent="0.25">
      <c r="AA4146" s="237"/>
      <c r="AB4146" s="237"/>
      <c r="AC4146" s="237"/>
      <c r="AD4146" s="237"/>
      <c r="AE4146" s="237"/>
      <c r="AF4146" s="237"/>
      <c r="AG4146" s="237"/>
      <c r="AH4146" s="237"/>
      <c r="AJ4146" s="238"/>
    </row>
    <row r="4147" spans="1:39" x14ac:dyDescent="0.25">
      <c r="AA4147" s="237"/>
      <c r="AB4147" s="237"/>
      <c r="AC4147" s="237"/>
      <c r="AD4147" s="237"/>
      <c r="AE4147" s="237"/>
      <c r="AF4147" s="237"/>
      <c r="AG4147" s="237"/>
      <c r="AH4147" s="237"/>
      <c r="AJ4147" s="238"/>
    </row>
    <row r="4148" spans="1:39" x14ac:dyDescent="0.25">
      <c r="AA4148" s="237"/>
      <c r="AB4148" s="237"/>
      <c r="AC4148" s="237"/>
      <c r="AD4148" s="237"/>
      <c r="AE4148" s="237"/>
      <c r="AF4148" s="237"/>
      <c r="AG4148" s="237"/>
      <c r="AH4148" s="237"/>
      <c r="AJ4148" s="238"/>
    </row>
    <row r="4149" spans="1:39" x14ac:dyDescent="0.25">
      <c r="AA4149" s="237"/>
      <c r="AB4149" s="237"/>
      <c r="AC4149" s="237"/>
      <c r="AD4149" s="237"/>
      <c r="AE4149" s="237"/>
      <c r="AF4149" s="237"/>
      <c r="AG4149" s="237"/>
      <c r="AH4149" s="237"/>
      <c r="AJ4149" s="238"/>
    </row>
    <row r="4150" spans="1:39" x14ac:dyDescent="0.25">
      <c r="AA4150" s="237"/>
      <c r="AB4150" s="237"/>
      <c r="AC4150" s="237"/>
      <c r="AD4150" s="237"/>
      <c r="AE4150" s="237"/>
      <c r="AF4150" s="237"/>
      <c r="AG4150" s="237"/>
      <c r="AH4150" s="237"/>
      <c r="AJ4150" s="238"/>
    </row>
    <row r="4151" spans="1:39" ht="12.75" x14ac:dyDescent="0.2">
      <c r="AL4151" s="226"/>
      <c r="AM4151" s="226"/>
    </row>
    <row r="4152" spans="1:39" ht="12.75" x14ac:dyDescent="0.2">
      <c r="A4152" s="236"/>
      <c r="B4152" s="236"/>
      <c r="C4152" s="236"/>
      <c r="D4152" s="236"/>
      <c r="E4152" s="237"/>
      <c r="G4152" s="237"/>
      <c r="H4152" s="237"/>
      <c r="I4152" s="237"/>
      <c r="K4152" s="237"/>
      <c r="N4152" s="237"/>
      <c r="O4152" s="237"/>
      <c r="P4152" s="237"/>
      <c r="Q4152" s="237"/>
      <c r="AL4152" s="226"/>
      <c r="AM4152" s="226"/>
    </row>
    <row r="4153" spans="1:39" x14ac:dyDescent="0.25">
      <c r="AA4153" s="237"/>
      <c r="AB4153" s="237"/>
      <c r="AC4153" s="237"/>
      <c r="AD4153" s="237"/>
      <c r="AE4153" s="237"/>
      <c r="AF4153" s="237"/>
      <c r="AG4153" s="237"/>
      <c r="AH4153" s="237"/>
      <c r="AJ4153" s="238"/>
    </row>
    <row r="4154" spans="1:39" x14ac:dyDescent="0.25">
      <c r="AA4154" s="237"/>
      <c r="AB4154" s="237"/>
      <c r="AC4154" s="237"/>
      <c r="AD4154" s="237"/>
      <c r="AE4154" s="237"/>
      <c r="AF4154" s="237"/>
      <c r="AG4154" s="237"/>
      <c r="AH4154" s="237"/>
      <c r="AJ4154" s="238"/>
    </row>
    <row r="4155" spans="1:39" x14ac:dyDescent="0.25">
      <c r="AA4155" s="237"/>
      <c r="AB4155" s="237"/>
      <c r="AC4155" s="237"/>
      <c r="AD4155" s="237"/>
      <c r="AE4155" s="237"/>
      <c r="AF4155" s="237"/>
      <c r="AG4155" s="237"/>
      <c r="AH4155" s="237"/>
      <c r="AJ4155" s="238"/>
    </row>
    <row r="4156" spans="1:39" x14ac:dyDescent="0.25">
      <c r="AA4156" s="237"/>
      <c r="AB4156" s="237"/>
      <c r="AC4156" s="237"/>
      <c r="AD4156" s="237"/>
      <c r="AE4156" s="237"/>
      <c r="AF4156" s="237"/>
      <c r="AG4156" s="237"/>
      <c r="AH4156" s="237"/>
      <c r="AJ4156" s="238"/>
    </row>
    <row r="4157" spans="1:39" x14ac:dyDescent="0.25">
      <c r="AA4157" s="237"/>
      <c r="AB4157" s="237"/>
      <c r="AC4157" s="237"/>
      <c r="AD4157" s="237"/>
      <c r="AE4157" s="237"/>
      <c r="AF4157" s="237"/>
      <c r="AG4157" s="237"/>
      <c r="AH4157" s="237"/>
      <c r="AJ4157" s="238"/>
    </row>
    <row r="4158" spans="1:39" ht="12.75" x14ac:dyDescent="0.2">
      <c r="AL4158" s="226"/>
      <c r="AM4158" s="226"/>
    </row>
    <row r="4159" spans="1:39" ht="12.75" x14ac:dyDescent="0.2">
      <c r="A4159" s="236"/>
      <c r="B4159" s="236"/>
      <c r="C4159" s="236"/>
      <c r="D4159" s="236"/>
      <c r="E4159" s="237"/>
      <c r="G4159" s="237"/>
      <c r="H4159" s="237"/>
      <c r="I4159" s="237"/>
      <c r="K4159" s="237"/>
      <c r="N4159" s="237"/>
      <c r="O4159" s="237"/>
      <c r="P4159" s="237"/>
      <c r="Q4159" s="237"/>
      <c r="AL4159" s="226"/>
      <c r="AM4159" s="226"/>
    </row>
    <row r="4160" spans="1:39" x14ac:dyDescent="0.25">
      <c r="AA4160" s="237"/>
      <c r="AB4160" s="237"/>
      <c r="AC4160" s="237"/>
      <c r="AD4160" s="237"/>
      <c r="AE4160" s="237"/>
      <c r="AF4160" s="237"/>
      <c r="AG4160" s="237"/>
      <c r="AH4160" s="237"/>
      <c r="AJ4160" s="238"/>
    </row>
    <row r="4161" spans="1:39" x14ac:dyDescent="0.25">
      <c r="AA4161" s="237"/>
      <c r="AB4161" s="237"/>
      <c r="AC4161" s="237"/>
      <c r="AD4161" s="237"/>
      <c r="AE4161" s="237"/>
      <c r="AF4161" s="237"/>
      <c r="AG4161" s="237"/>
      <c r="AH4161" s="237"/>
      <c r="AJ4161" s="238"/>
    </row>
    <row r="4162" spans="1:39" ht="12.75" x14ac:dyDescent="0.2">
      <c r="AL4162" s="226"/>
      <c r="AM4162" s="226"/>
    </row>
    <row r="4163" spans="1:39" ht="12.75" x14ac:dyDescent="0.2">
      <c r="A4163" s="236"/>
      <c r="B4163" s="236"/>
      <c r="C4163" s="236"/>
      <c r="D4163" s="236"/>
      <c r="E4163" s="237"/>
      <c r="G4163" s="237"/>
      <c r="H4163" s="237"/>
      <c r="I4163" s="237"/>
      <c r="K4163" s="237"/>
      <c r="N4163" s="237"/>
      <c r="O4163" s="237"/>
      <c r="P4163" s="237"/>
      <c r="Q4163" s="237"/>
      <c r="AL4163" s="226"/>
      <c r="AM4163" s="226"/>
    </row>
    <row r="4164" spans="1:39" x14ac:dyDescent="0.25">
      <c r="AA4164" s="237"/>
      <c r="AB4164" s="237"/>
      <c r="AC4164" s="237"/>
      <c r="AD4164" s="237"/>
      <c r="AE4164" s="237"/>
      <c r="AF4164" s="237"/>
      <c r="AG4164" s="237"/>
      <c r="AH4164" s="237"/>
      <c r="AJ4164" s="238"/>
    </row>
    <row r="4165" spans="1:39" ht="12.75" x14ac:dyDescent="0.2">
      <c r="AL4165" s="226"/>
      <c r="AM4165" s="226"/>
    </row>
    <row r="4166" spans="1:39" ht="12.75" x14ac:dyDescent="0.2">
      <c r="A4166" s="236"/>
      <c r="B4166" s="236"/>
      <c r="C4166" s="236"/>
      <c r="D4166" s="236"/>
      <c r="E4166" s="237"/>
      <c r="G4166" s="237"/>
      <c r="H4166" s="237"/>
      <c r="I4166" s="237"/>
      <c r="K4166" s="237"/>
      <c r="N4166" s="237"/>
      <c r="O4166" s="237"/>
      <c r="P4166" s="237"/>
      <c r="Q4166" s="237"/>
      <c r="AL4166" s="226"/>
      <c r="AM4166" s="226"/>
    </row>
    <row r="4167" spans="1:39" x14ac:dyDescent="0.25">
      <c r="AA4167" s="237"/>
      <c r="AB4167" s="237"/>
      <c r="AC4167" s="237"/>
      <c r="AD4167" s="237"/>
      <c r="AE4167" s="237"/>
      <c r="AF4167" s="237"/>
      <c r="AG4167" s="237"/>
      <c r="AH4167" s="237"/>
      <c r="AJ4167" s="238"/>
    </row>
    <row r="4168" spans="1:39" x14ac:dyDescent="0.25">
      <c r="AA4168" s="237"/>
      <c r="AB4168" s="237"/>
      <c r="AC4168" s="237"/>
      <c r="AD4168" s="237"/>
      <c r="AE4168" s="237"/>
      <c r="AF4168" s="237"/>
      <c r="AG4168" s="237"/>
      <c r="AH4168" s="237"/>
      <c r="AJ4168" s="238"/>
    </row>
    <row r="4169" spans="1:39" ht="12.75" x14ac:dyDescent="0.2">
      <c r="AL4169" s="226"/>
      <c r="AM4169" s="226"/>
    </row>
    <row r="4170" spans="1:39" ht="12.75" x14ac:dyDescent="0.2">
      <c r="A4170" s="236"/>
      <c r="B4170" s="236"/>
      <c r="C4170" s="236"/>
      <c r="D4170" s="236"/>
      <c r="E4170" s="237"/>
      <c r="G4170" s="237"/>
      <c r="H4170" s="237"/>
      <c r="I4170" s="237"/>
      <c r="K4170" s="237"/>
      <c r="N4170" s="237"/>
      <c r="O4170" s="237"/>
      <c r="P4170" s="237"/>
      <c r="Q4170" s="237"/>
      <c r="AL4170" s="226"/>
      <c r="AM4170" s="226"/>
    </row>
    <row r="4171" spans="1:39" x14ac:dyDescent="0.25">
      <c r="AA4171" s="237"/>
      <c r="AB4171" s="237"/>
      <c r="AC4171" s="237"/>
      <c r="AD4171" s="237"/>
      <c r="AE4171" s="237"/>
      <c r="AF4171" s="237"/>
      <c r="AG4171" s="237"/>
      <c r="AH4171" s="237"/>
      <c r="AJ4171" s="238"/>
    </row>
    <row r="4172" spans="1:39" x14ac:dyDescent="0.25">
      <c r="AA4172" s="237"/>
      <c r="AB4172" s="237"/>
      <c r="AC4172" s="237"/>
      <c r="AD4172" s="237"/>
      <c r="AE4172" s="237"/>
      <c r="AF4172" s="237"/>
      <c r="AG4172" s="237"/>
      <c r="AH4172" s="237"/>
      <c r="AJ4172" s="238"/>
    </row>
    <row r="4173" spans="1:39" ht="12.75" x14ac:dyDescent="0.2">
      <c r="AL4173" s="226"/>
      <c r="AM4173" s="226"/>
    </row>
    <row r="4174" spans="1:39" ht="12.75" x14ac:dyDescent="0.2">
      <c r="A4174" s="236"/>
      <c r="B4174" s="236"/>
      <c r="C4174" s="236"/>
      <c r="D4174" s="236"/>
      <c r="E4174" s="237"/>
      <c r="G4174" s="237"/>
      <c r="H4174" s="237"/>
      <c r="I4174" s="237"/>
      <c r="K4174" s="237"/>
      <c r="N4174" s="237"/>
      <c r="O4174" s="237"/>
      <c r="P4174" s="237"/>
      <c r="Q4174" s="237"/>
      <c r="AL4174" s="226"/>
      <c r="AM4174" s="226"/>
    </row>
    <row r="4175" spans="1:39" x14ac:dyDescent="0.25">
      <c r="AA4175" s="237"/>
      <c r="AB4175" s="237"/>
      <c r="AC4175" s="237"/>
      <c r="AD4175" s="237"/>
      <c r="AE4175" s="237"/>
      <c r="AF4175" s="237"/>
      <c r="AG4175" s="237"/>
      <c r="AH4175" s="237"/>
      <c r="AJ4175" s="238"/>
    </row>
    <row r="4176" spans="1:39" x14ac:dyDescent="0.25">
      <c r="AA4176" s="237"/>
      <c r="AB4176" s="237"/>
      <c r="AC4176" s="237"/>
      <c r="AD4176" s="237"/>
      <c r="AE4176" s="237"/>
      <c r="AF4176" s="237"/>
      <c r="AG4176" s="237"/>
      <c r="AH4176" s="237"/>
      <c r="AJ4176" s="238"/>
    </row>
    <row r="4177" spans="1:39" ht="12.75" x14ac:dyDescent="0.2">
      <c r="AL4177" s="226"/>
      <c r="AM4177" s="226"/>
    </row>
    <row r="4178" spans="1:39" ht="12.75" x14ac:dyDescent="0.2">
      <c r="A4178" s="236"/>
      <c r="B4178" s="236"/>
      <c r="C4178" s="236"/>
      <c r="D4178" s="236"/>
      <c r="E4178" s="237"/>
      <c r="G4178" s="237"/>
      <c r="H4178" s="237"/>
      <c r="I4178" s="237"/>
      <c r="K4178" s="237"/>
      <c r="N4178" s="237"/>
      <c r="O4178" s="237"/>
      <c r="P4178" s="237"/>
      <c r="Q4178" s="237"/>
      <c r="AL4178" s="226"/>
      <c r="AM4178" s="226"/>
    </row>
    <row r="4179" spans="1:39" x14ac:dyDescent="0.25">
      <c r="AA4179" s="237"/>
      <c r="AB4179" s="237"/>
      <c r="AC4179" s="237"/>
      <c r="AD4179" s="237"/>
      <c r="AE4179" s="237"/>
      <c r="AF4179" s="237"/>
      <c r="AG4179" s="237"/>
      <c r="AH4179" s="237"/>
      <c r="AJ4179" s="238"/>
    </row>
    <row r="4180" spans="1:39" ht="12.75" x14ac:dyDescent="0.2">
      <c r="AL4180" s="226"/>
      <c r="AM4180" s="226"/>
    </row>
    <row r="4181" spans="1:39" ht="12.75" x14ac:dyDescent="0.2">
      <c r="A4181" s="236"/>
      <c r="B4181" s="236"/>
      <c r="C4181" s="236"/>
      <c r="D4181" s="236"/>
      <c r="E4181" s="237"/>
      <c r="G4181" s="237"/>
      <c r="H4181" s="237"/>
      <c r="I4181" s="237"/>
      <c r="K4181" s="237"/>
      <c r="N4181" s="237"/>
      <c r="O4181" s="237"/>
      <c r="P4181" s="237"/>
      <c r="Q4181" s="237"/>
      <c r="AL4181" s="226"/>
      <c r="AM4181" s="226"/>
    </row>
    <row r="4182" spans="1:39" x14ac:dyDescent="0.25">
      <c r="AA4182" s="237"/>
      <c r="AB4182" s="237"/>
      <c r="AC4182" s="237"/>
      <c r="AD4182" s="237"/>
      <c r="AE4182" s="237"/>
      <c r="AF4182" s="237"/>
      <c r="AG4182" s="237"/>
      <c r="AH4182" s="237"/>
      <c r="AJ4182" s="238"/>
    </row>
    <row r="4183" spans="1:39" x14ac:dyDescent="0.25">
      <c r="AA4183" s="237"/>
      <c r="AB4183" s="237"/>
      <c r="AC4183" s="237"/>
      <c r="AD4183" s="237"/>
      <c r="AE4183" s="237"/>
      <c r="AF4183" s="237"/>
      <c r="AG4183" s="237"/>
      <c r="AH4183" s="237"/>
      <c r="AJ4183" s="238"/>
    </row>
    <row r="4184" spans="1:39" ht="12.75" x14ac:dyDescent="0.2">
      <c r="AL4184" s="226"/>
      <c r="AM4184" s="226"/>
    </row>
    <row r="4185" spans="1:39" ht="12.75" x14ac:dyDescent="0.2">
      <c r="A4185" s="236"/>
      <c r="B4185" s="236"/>
      <c r="C4185" s="236"/>
      <c r="D4185" s="236"/>
      <c r="E4185" s="237"/>
      <c r="G4185" s="237"/>
      <c r="H4185" s="237"/>
      <c r="I4185" s="237"/>
      <c r="K4185" s="237"/>
      <c r="N4185" s="237"/>
      <c r="O4185" s="237"/>
      <c r="P4185" s="237"/>
      <c r="Q4185" s="237"/>
      <c r="AL4185" s="226"/>
      <c r="AM4185" s="226"/>
    </row>
    <row r="4186" spans="1:39" x14ac:dyDescent="0.25">
      <c r="AA4186" s="237"/>
      <c r="AB4186" s="237"/>
      <c r="AC4186" s="237"/>
      <c r="AD4186" s="237"/>
      <c r="AE4186" s="237"/>
      <c r="AF4186" s="237"/>
      <c r="AG4186" s="237"/>
      <c r="AH4186" s="237"/>
      <c r="AJ4186" s="238"/>
    </row>
    <row r="4187" spans="1:39" x14ac:dyDescent="0.25">
      <c r="AA4187" s="237"/>
      <c r="AB4187" s="237"/>
      <c r="AC4187" s="237"/>
      <c r="AD4187" s="237"/>
      <c r="AE4187" s="237"/>
      <c r="AF4187" s="237"/>
      <c r="AG4187" s="237"/>
      <c r="AH4187" s="237"/>
      <c r="AJ4187" s="238"/>
    </row>
    <row r="4188" spans="1:39" ht="12.75" x14ac:dyDescent="0.2">
      <c r="AL4188" s="226"/>
      <c r="AM4188" s="226"/>
    </row>
    <row r="4189" spans="1:39" ht="12.75" x14ac:dyDescent="0.2">
      <c r="A4189" s="236"/>
      <c r="B4189" s="236"/>
      <c r="C4189" s="236"/>
      <c r="D4189" s="236"/>
      <c r="E4189" s="237"/>
      <c r="G4189" s="237"/>
      <c r="H4189" s="237"/>
      <c r="I4189" s="237"/>
      <c r="K4189" s="237"/>
      <c r="N4189" s="237"/>
      <c r="O4189" s="237"/>
      <c r="P4189" s="237"/>
      <c r="Q4189" s="237"/>
      <c r="AL4189" s="226"/>
      <c r="AM4189" s="226"/>
    </row>
    <row r="4190" spans="1:39" x14ac:dyDescent="0.25">
      <c r="AA4190" s="237"/>
      <c r="AB4190" s="237"/>
      <c r="AC4190" s="237"/>
      <c r="AD4190" s="237"/>
      <c r="AE4190" s="237"/>
      <c r="AF4190" s="237"/>
      <c r="AG4190" s="237"/>
      <c r="AH4190" s="237"/>
      <c r="AJ4190" s="238"/>
    </row>
    <row r="4191" spans="1:39" ht="12.75" x14ac:dyDescent="0.2">
      <c r="AL4191" s="226"/>
      <c r="AM4191" s="226"/>
    </row>
    <row r="4192" spans="1:39" ht="12.75" x14ac:dyDescent="0.2">
      <c r="A4192" s="236"/>
      <c r="B4192" s="236"/>
      <c r="C4192" s="236"/>
      <c r="D4192" s="236"/>
      <c r="E4192" s="237"/>
      <c r="G4192" s="237"/>
      <c r="H4192" s="237"/>
      <c r="I4192" s="237"/>
      <c r="K4192" s="237"/>
      <c r="N4192" s="237"/>
      <c r="O4192" s="237"/>
      <c r="P4192" s="237"/>
      <c r="Q4192" s="237"/>
      <c r="AL4192" s="226"/>
      <c r="AM4192" s="226"/>
    </row>
    <row r="4193" spans="1:39" x14ac:dyDescent="0.25">
      <c r="AA4193" s="237"/>
      <c r="AB4193" s="237"/>
      <c r="AC4193" s="237"/>
      <c r="AD4193" s="237"/>
      <c r="AE4193" s="237"/>
      <c r="AF4193" s="237"/>
      <c r="AG4193" s="237"/>
      <c r="AH4193" s="237"/>
      <c r="AJ4193" s="238"/>
    </row>
    <row r="4194" spans="1:39" ht="12.75" x14ac:dyDescent="0.2">
      <c r="AL4194" s="226"/>
      <c r="AM4194" s="226"/>
    </row>
    <row r="4195" spans="1:39" ht="12.75" x14ac:dyDescent="0.2">
      <c r="A4195" s="236"/>
      <c r="B4195" s="236"/>
      <c r="C4195" s="236"/>
      <c r="D4195" s="236"/>
      <c r="E4195" s="237"/>
      <c r="G4195" s="237"/>
      <c r="H4195" s="237"/>
      <c r="I4195" s="237"/>
      <c r="K4195" s="237"/>
      <c r="N4195" s="237"/>
      <c r="O4195" s="237"/>
      <c r="P4195" s="237"/>
      <c r="Q4195" s="237"/>
      <c r="AL4195" s="226"/>
      <c r="AM4195" s="226"/>
    </row>
    <row r="4196" spans="1:39" x14ac:dyDescent="0.25">
      <c r="AA4196" s="237"/>
      <c r="AB4196" s="237"/>
      <c r="AC4196" s="237"/>
      <c r="AD4196" s="237"/>
      <c r="AE4196" s="237"/>
      <c r="AF4196" s="237"/>
      <c r="AG4196" s="237"/>
      <c r="AH4196" s="237"/>
      <c r="AJ4196" s="238"/>
    </row>
    <row r="4197" spans="1:39" x14ac:dyDescent="0.25">
      <c r="AA4197" s="237"/>
      <c r="AB4197" s="237"/>
      <c r="AC4197" s="237"/>
      <c r="AD4197" s="237"/>
      <c r="AE4197" s="237"/>
      <c r="AF4197" s="237"/>
      <c r="AG4197" s="237"/>
      <c r="AH4197" s="237"/>
      <c r="AJ4197" s="238"/>
    </row>
    <row r="4198" spans="1:39" x14ac:dyDescent="0.25">
      <c r="AA4198" s="237"/>
      <c r="AB4198" s="237"/>
      <c r="AC4198" s="237"/>
      <c r="AD4198" s="237"/>
      <c r="AE4198" s="237"/>
      <c r="AF4198" s="237"/>
      <c r="AG4198" s="237"/>
      <c r="AH4198" s="237"/>
      <c r="AJ4198" s="238"/>
    </row>
    <row r="4199" spans="1:39" ht="12.75" x14ac:dyDescent="0.2">
      <c r="AL4199" s="226"/>
      <c r="AM4199" s="226"/>
    </row>
    <row r="4200" spans="1:39" ht="12.75" x14ac:dyDescent="0.2">
      <c r="A4200" s="236"/>
      <c r="B4200" s="236"/>
      <c r="C4200" s="236"/>
      <c r="D4200" s="236"/>
      <c r="E4200" s="237"/>
      <c r="G4200" s="237"/>
      <c r="H4200" s="237"/>
      <c r="I4200" s="237"/>
      <c r="K4200" s="237"/>
      <c r="N4200" s="237"/>
      <c r="O4200" s="237"/>
      <c r="P4200" s="237"/>
      <c r="Q4200" s="237"/>
      <c r="AL4200" s="226"/>
      <c r="AM4200" s="226"/>
    </row>
    <row r="4201" spans="1:39" x14ac:dyDescent="0.25">
      <c r="AA4201" s="237"/>
      <c r="AB4201" s="237"/>
      <c r="AC4201" s="237"/>
      <c r="AD4201" s="237"/>
      <c r="AE4201" s="237"/>
      <c r="AF4201" s="237"/>
      <c r="AG4201" s="237"/>
      <c r="AH4201" s="237"/>
      <c r="AJ4201" s="238"/>
    </row>
    <row r="4202" spans="1:39" x14ac:dyDescent="0.25">
      <c r="AA4202" s="237"/>
      <c r="AB4202" s="237"/>
      <c r="AC4202" s="237"/>
      <c r="AD4202" s="237"/>
      <c r="AE4202" s="237"/>
      <c r="AF4202" s="237"/>
      <c r="AG4202" s="237"/>
      <c r="AH4202" s="237"/>
      <c r="AJ4202" s="238"/>
    </row>
    <row r="4203" spans="1:39" ht="12.75" x14ac:dyDescent="0.2">
      <c r="AL4203" s="226"/>
      <c r="AM4203" s="226"/>
    </row>
    <row r="4204" spans="1:39" ht="12.75" x14ac:dyDescent="0.2">
      <c r="A4204" s="236"/>
      <c r="B4204" s="236"/>
      <c r="C4204" s="236"/>
      <c r="D4204" s="236"/>
      <c r="E4204" s="237"/>
      <c r="G4204" s="237"/>
      <c r="H4204" s="237"/>
      <c r="I4204" s="237"/>
      <c r="K4204" s="237"/>
      <c r="N4204" s="237"/>
      <c r="O4204" s="237"/>
      <c r="P4204" s="237"/>
      <c r="Q4204" s="237"/>
      <c r="AL4204" s="226"/>
      <c r="AM4204" s="226"/>
    </row>
    <row r="4205" spans="1:39" x14ac:dyDescent="0.25">
      <c r="AA4205" s="237"/>
      <c r="AB4205" s="237"/>
      <c r="AC4205" s="237"/>
      <c r="AD4205" s="237"/>
      <c r="AE4205" s="237"/>
      <c r="AF4205" s="237"/>
      <c r="AG4205" s="237"/>
      <c r="AH4205" s="237"/>
      <c r="AJ4205" s="238"/>
    </row>
    <row r="4206" spans="1:39" x14ac:dyDescent="0.25">
      <c r="AA4206" s="237"/>
      <c r="AB4206" s="237"/>
      <c r="AC4206" s="237"/>
      <c r="AD4206" s="237"/>
      <c r="AE4206" s="237"/>
      <c r="AF4206" s="237"/>
      <c r="AG4206" s="237"/>
      <c r="AH4206" s="237"/>
      <c r="AJ4206" s="238"/>
    </row>
    <row r="4207" spans="1:39" x14ac:dyDescent="0.25">
      <c r="AA4207" s="237"/>
      <c r="AB4207" s="237"/>
      <c r="AC4207" s="237"/>
      <c r="AD4207" s="237"/>
      <c r="AE4207" s="237"/>
      <c r="AF4207" s="237"/>
      <c r="AG4207" s="237"/>
      <c r="AH4207" s="237"/>
      <c r="AJ4207" s="238"/>
    </row>
    <row r="4208" spans="1:39" x14ac:dyDescent="0.25">
      <c r="AA4208" s="237"/>
      <c r="AB4208" s="237"/>
      <c r="AC4208" s="237"/>
      <c r="AD4208" s="237"/>
      <c r="AE4208" s="237"/>
      <c r="AF4208" s="237"/>
      <c r="AG4208" s="237"/>
      <c r="AH4208" s="237"/>
      <c r="AJ4208" s="238"/>
    </row>
    <row r="4209" spans="1:39" x14ac:dyDescent="0.25">
      <c r="AA4209" s="237"/>
      <c r="AB4209" s="237"/>
      <c r="AC4209" s="237"/>
      <c r="AD4209" s="237"/>
      <c r="AE4209" s="237"/>
      <c r="AF4209" s="237"/>
      <c r="AG4209" s="237"/>
      <c r="AH4209" s="237"/>
      <c r="AJ4209" s="238"/>
    </row>
    <row r="4210" spans="1:39" x14ac:dyDescent="0.25">
      <c r="AA4210" s="237"/>
      <c r="AB4210" s="237"/>
      <c r="AC4210" s="237"/>
      <c r="AD4210" s="237"/>
      <c r="AE4210" s="237"/>
      <c r="AF4210" s="237"/>
      <c r="AG4210" s="237"/>
      <c r="AH4210" s="237"/>
      <c r="AJ4210" s="238"/>
    </row>
    <row r="4211" spans="1:39" x14ac:dyDescent="0.25">
      <c r="AA4211" s="237"/>
      <c r="AB4211" s="237"/>
      <c r="AC4211" s="237"/>
      <c r="AD4211" s="237"/>
      <c r="AE4211" s="237"/>
      <c r="AF4211" s="237"/>
      <c r="AG4211" s="237"/>
      <c r="AH4211" s="237"/>
      <c r="AJ4211" s="238"/>
    </row>
    <row r="4212" spans="1:39" x14ac:dyDescent="0.25">
      <c r="AA4212" s="237"/>
      <c r="AB4212" s="237"/>
      <c r="AC4212" s="237"/>
      <c r="AD4212" s="237"/>
      <c r="AE4212" s="237"/>
      <c r="AF4212" s="237"/>
      <c r="AG4212" s="237"/>
      <c r="AH4212" s="237"/>
      <c r="AJ4212" s="238"/>
    </row>
    <row r="4213" spans="1:39" x14ac:dyDescent="0.25">
      <c r="AA4213" s="237"/>
      <c r="AB4213" s="237"/>
      <c r="AC4213" s="237"/>
      <c r="AD4213" s="237"/>
      <c r="AE4213" s="237"/>
      <c r="AF4213" s="237"/>
      <c r="AG4213" s="237"/>
      <c r="AH4213" s="237"/>
      <c r="AJ4213" s="238"/>
    </row>
    <row r="4214" spans="1:39" x14ac:dyDescent="0.25">
      <c r="AA4214" s="237"/>
      <c r="AB4214" s="237"/>
      <c r="AC4214" s="237"/>
      <c r="AD4214" s="237"/>
      <c r="AE4214" s="237"/>
      <c r="AF4214" s="237"/>
      <c r="AG4214" s="237"/>
      <c r="AH4214" s="237"/>
      <c r="AJ4214" s="238"/>
    </row>
    <row r="4215" spans="1:39" x14ac:dyDescent="0.25">
      <c r="AA4215" s="237"/>
      <c r="AB4215" s="237"/>
      <c r="AC4215" s="237"/>
      <c r="AD4215" s="237"/>
      <c r="AE4215" s="237"/>
      <c r="AF4215" s="237"/>
      <c r="AG4215" s="237"/>
      <c r="AH4215" s="237"/>
      <c r="AJ4215" s="238"/>
    </row>
    <row r="4216" spans="1:39" ht="12.75" x14ac:dyDescent="0.2">
      <c r="AL4216" s="226"/>
      <c r="AM4216" s="226"/>
    </row>
    <row r="4217" spans="1:39" ht="12.75" x14ac:dyDescent="0.2">
      <c r="A4217" s="236"/>
      <c r="B4217" s="236"/>
      <c r="C4217" s="236"/>
      <c r="D4217" s="236"/>
      <c r="E4217" s="237"/>
      <c r="G4217" s="237"/>
      <c r="H4217" s="237"/>
      <c r="I4217" s="237"/>
      <c r="K4217" s="237"/>
      <c r="N4217" s="237"/>
      <c r="O4217" s="237"/>
      <c r="P4217" s="237"/>
      <c r="Q4217" s="237"/>
      <c r="AL4217" s="226"/>
      <c r="AM4217" s="226"/>
    </row>
    <row r="4218" spans="1:39" x14ac:dyDescent="0.25">
      <c r="AA4218" s="237"/>
      <c r="AB4218" s="237"/>
      <c r="AC4218" s="237"/>
      <c r="AD4218" s="237"/>
      <c r="AE4218" s="237"/>
      <c r="AF4218" s="237"/>
      <c r="AG4218" s="237"/>
      <c r="AH4218" s="237"/>
      <c r="AJ4218" s="238"/>
    </row>
    <row r="4219" spans="1:39" ht="12.75" x14ac:dyDescent="0.2">
      <c r="AL4219" s="226"/>
      <c r="AM4219" s="226"/>
    </row>
    <row r="4220" spans="1:39" ht="12.75" x14ac:dyDescent="0.2">
      <c r="A4220" s="236"/>
      <c r="B4220" s="236"/>
      <c r="C4220" s="236"/>
      <c r="D4220" s="236"/>
      <c r="E4220" s="237"/>
      <c r="G4220" s="237"/>
      <c r="H4220" s="237"/>
      <c r="I4220" s="237"/>
      <c r="K4220" s="237"/>
      <c r="N4220" s="237"/>
      <c r="O4220" s="237"/>
      <c r="P4220" s="237"/>
      <c r="Q4220" s="237"/>
      <c r="AL4220" s="226"/>
      <c r="AM4220" s="226"/>
    </row>
    <row r="4221" spans="1:39" x14ac:dyDescent="0.25">
      <c r="AA4221" s="237"/>
      <c r="AB4221" s="237"/>
      <c r="AC4221" s="237"/>
      <c r="AD4221" s="237"/>
      <c r="AE4221" s="237"/>
      <c r="AF4221" s="237"/>
      <c r="AG4221" s="237"/>
      <c r="AH4221" s="237"/>
      <c r="AJ4221" s="238"/>
    </row>
    <row r="4222" spans="1:39" x14ac:dyDescent="0.25">
      <c r="AA4222" s="237"/>
      <c r="AB4222" s="237"/>
      <c r="AC4222" s="237"/>
      <c r="AD4222" s="237"/>
      <c r="AE4222" s="237"/>
      <c r="AF4222" s="237"/>
      <c r="AG4222" s="237"/>
      <c r="AH4222" s="237"/>
      <c r="AJ4222" s="238"/>
    </row>
    <row r="4223" spans="1:39" x14ac:dyDescent="0.25">
      <c r="AA4223" s="237"/>
      <c r="AB4223" s="237"/>
      <c r="AC4223" s="237"/>
      <c r="AD4223" s="237"/>
      <c r="AE4223" s="237"/>
      <c r="AF4223" s="237"/>
      <c r="AG4223" s="237"/>
      <c r="AH4223" s="237"/>
      <c r="AJ4223" s="238"/>
    </row>
    <row r="4224" spans="1:39" x14ac:dyDescent="0.25">
      <c r="AA4224" s="237"/>
      <c r="AB4224" s="237"/>
      <c r="AC4224" s="237"/>
      <c r="AD4224" s="237"/>
      <c r="AE4224" s="237"/>
      <c r="AF4224" s="237"/>
      <c r="AG4224" s="237"/>
      <c r="AH4224" s="237"/>
      <c r="AJ4224" s="238"/>
    </row>
    <row r="4225" spans="1:39" x14ac:dyDescent="0.25">
      <c r="AA4225" s="237"/>
      <c r="AB4225" s="237"/>
      <c r="AC4225" s="237"/>
      <c r="AD4225" s="237"/>
      <c r="AE4225" s="237"/>
      <c r="AF4225" s="237"/>
      <c r="AG4225" s="237"/>
      <c r="AH4225" s="237"/>
      <c r="AJ4225" s="238"/>
    </row>
    <row r="4226" spans="1:39" x14ac:dyDescent="0.25">
      <c r="AA4226" s="237"/>
      <c r="AB4226" s="237"/>
      <c r="AC4226" s="237"/>
      <c r="AD4226" s="237"/>
      <c r="AE4226" s="237"/>
      <c r="AF4226" s="237"/>
      <c r="AG4226" s="237"/>
      <c r="AH4226" s="237"/>
      <c r="AJ4226" s="238"/>
    </row>
    <row r="4227" spans="1:39" ht="12.75" x14ac:dyDescent="0.2">
      <c r="AL4227" s="226"/>
      <c r="AM4227" s="226"/>
    </row>
    <row r="4228" spans="1:39" ht="12.75" x14ac:dyDescent="0.2">
      <c r="A4228" s="236"/>
      <c r="B4228" s="236"/>
      <c r="C4228" s="236"/>
      <c r="D4228" s="236"/>
      <c r="E4228" s="237"/>
      <c r="G4228" s="237"/>
      <c r="H4228" s="237"/>
      <c r="I4228" s="237"/>
      <c r="K4228" s="237"/>
      <c r="N4228" s="237"/>
      <c r="O4228" s="237"/>
      <c r="P4228" s="237"/>
      <c r="Q4228" s="237"/>
      <c r="AL4228" s="226"/>
      <c r="AM4228" s="226"/>
    </row>
    <row r="4229" spans="1:39" x14ac:dyDescent="0.25">
      <c r="AA4229" s="237"/>
      <c r="AB4229" s="237"/>
      <c r="AC4229" s="237"/>
      <c r="AD4229" s="237"/>
      <c r="AE4229" s="237"/>
      <c r="AF4229" s="237"/>
      <c r="AG4229" s="237"/>
      <c r="AH4229" s="237"/>
      <c r="AJ4229" s="238"/>
    </row>
    <row r="4230" spans="1:39" x14ac:dyDescent="0.25">
      <c r="AA4230" s="237"/>
      <c r="AB4230" s="237"/>
      <c r="AC4230" s="237"/>
      <c r="AD4230" s="237"/>
      <c r="AE4230" s="237"/>
      <c r="AF4230" s="237"/>
      <c r="AG4230" s="237"/>
      <c r="AH4230" s="237"/>
      <c r="AJ4230" s="238"/>
    </row>
    <row r="4231" spans="1:39" ht="12.75" x14ac:dyDescent="0.2">
      <c r="AL4231" s="226"/>
      <c r="AM4231" s="226"/>
    </row>
    <row r="4232" spans="1:39" ht="12.75" x14ac:dyDescent="0.2">
      <c r="A4232" s="236"/>
      <c r="B4232" s="236"/>
      <c r="C4232" s="236"/>
      <c r="D4232" s="236"/>
      <c r="E4232" s="237"/>
      <c r="G4232" s="237"/>
      <c r="H4232" s="237"/>
      <c r="I4232" s="237"/>
      <c r="K4232" s="237"/>
      <c r="N4232" s="237"/>
      <c r="O4232" s="237"/>
      <c r="P4232" s="237"/>
      <c r="Q4232" s="237"/>
      <c r="AL4232" s="226"/>
      <c r="AM4232" s="226"/>
    </row>
    <row r="4233" spans="1:39" x14ac:dyDescent="0.25">
      <c r="AA4233" s="237"/>
      <c r="AB4233" s="237"/>
      <c r="AC4233" s="237"/>
      <c r="AD4233" s="237"/>
      <c r="AE4233" s="237"/>
      <c r="AF4233" s="237"/>
      <c r="AG4233" s="237"/>
      <c r="AH4233" s="237"/>
      <c r="AJ4233" s="238"/>
    </row>
    <row r="4234" spans="1:39" ht="12.75" x14ac:dyDescent="0.2">
      <c r="AL4234" s="226"/>
      <c r="AM4234" s="226"/>
    </row>
    <row r="4235" spans="1:39" ht="12.75" x14ac:dyDescent="0.2">
      <c r="A4235" s="236"/>
      <c r="B4235" s="236"/>
      <c r="C4235" s="236"/>
      <c r="D4235" s="236"/>
      <c r="E4235" s="237"/>
      <c r="G4235" s="237"/>
      <c r="H4235" s="237"/>
      <c r="I4235" s="237"/>
      <c r="K4235" s="237"/>
      <c r="N4235" s="237"/>
      <c r="O4235" s="237"/>
      <c r="P4235" s="237"/>
      <c r="Q4235" s="237"/>
      <c r="AL4235" s="226"/>
      <c r="AM4235" s="226"/>
    </row>
    <row r="4236" spans="1:39" x14ac:dyDescent="0.25">
      <c r="AA4236" s="237"/>
      <c r="AB4236" s="237"/>
      <c r="AC4236" s="237"/>
      <c r="AD4236" s="237"/>
      <c r="AE4236" s="237"/>
      <c r="AF4236" s="237"/>
      <c r="AG4236" s="237"/>
      <c r="AH4236" s="237"/>
      <c r="AJ4236" s="238"/>
    </row>
    <row r="4237" spans="1:39" x14ac:dyDescent="0.25">
      <c r="AA4237" s="237"/>
      <c r="AB4237" s="237"/>
      <c r="AC4237" s="237"/>
      <c r="AD4237" s="237"/>
      <c r="AE4237" s="237"/>
      <c r="AF4237" s="237"/>
      <c r="AG4237" s="237"/>
      <c r="AH4237" s="237"/>
      <c r="AJ4237" s="238"/>
    </row>
    <row r="4238" spans="1:39" x14ac:dyDescent="0.25">
      <c r="AA4238" s="237"/>
      <c r="AB4238" s="237"/>
      <c r="AC4238" s="237"/>
      <c r="AD4238" s="237"/>
      <c r="AE4238" s="237"/>
      <c r="AF4238" s="237"/>
      <c r="AG4238" s="237"/>
      <c r="AH4238" s="237"/>
      <c r="AJ4238" s="238"/>
    </row>
    <row r="4239" spans="1:39" ht="12.75" x14ac:dyDescent="0.2">
      <c r="AL4239" s="226"/>
      <c r="AM4239" s="226"/>
    </row>
    <row r="4240" spans="1:39" ht="12.75" x14ac:dyDescent="0.2">
      <c r="A4240" s="236"/>
      <c r="B4240" s="236"/>
      <c r="C4240" s="236"/>
      <c r="D4240" s="236"/>
      <c r="E4240" s="237"/>
      <c r="G4240" s="237"/>
      <c r="H4240" s="237"/>
      <c r="I4240" s="237"/>
      <c r="K4240" s="237"/>
      <c r="N4240" s="237"/>
      <c r="O4240" s="237"/>
      <c r="P4240" s="237"/>
      <c r="Q4240" s="237"/>
      <c r="AL4240" s="226"/>
      <c r="AM4240" s="226"/>
    </row>
    <row r="4241" spans="1:39" x14ac:dyDescent="0.25">
      <c r="AA4241" s="237"/>
      <c r="AB4241" s="237"/>
      <c r="AC4241" s="237"/>
      <c r="AD4241" s="237"/>
      <c r="AE4241" s="237"/>
      <c r="AF4241" s="237"/>
      <c r="AG4241" s="237"/>
      <c r="AH4241" s="237"/>
      <c r="AJ4241" s="238"/>
    </row>
    <row r="4242" spans="1:39" ht="12.75" x14ac:dyDescent="0.2">
      <c r="AL4242" s="226"/>
      <c r="AM4242" s="226"/>
    </row>
    <row r="4243" spans="1:39" ht="12.75" x14ac:dyDescent="0.2">
      <c r="A4243" s="236"/>
      <c r="B4243" s="236"/>
      <c r="C4243" s="236"/>
      <c r="D4243" s="236"/>
      <c r="E4243" s="237"/>
      <c r="G4243" s="237"/>
      <c r="H4243" s="237"/>
      <c r="I4243" s="237"/>
      <c r="K4243" s="237"/>
      <c r="N4243" s="237"/>
      <c r="O4243" s="237"/>
      <c r="P4243" s="237"/>
      <c r="Q4243" s="237"/>
      <c r="AL4243" s="226"/>
      <c r="AM4243" s="226"/>
    </row>
    <row r="4244" spans="1:39" x14ac:dyDescent="0.25">
      <c r="AA4244" s="237"/>
      <c r="AB4244" s="237"/>
      <c r="AC4244" s="237"/>
      <c r="AD4244" s="237"/>
      <c r="AE4244" s="237"/>
      <c r="AF4244" s="237"/>
      <c r="AG4244" s="237"/>
      <c r="AH4244" s="237"/>
      <c r="AJ4244" s="238"/>
    </row>
    <row r="4245" spans="1:39" x14ac:dyDescent="0.25">
      <c r="AA4245" s="237"/>
      <c r="AB4245" s="237"/>
      <c r="AC4245" s="237"/>
      <c r="AD4245" s="237"/>
      <c r="AE4245" s="237"/>
      <c r="AF4245" s="237"/>
      <c r="AG4245" s="237"/>
      <c r="AH4245" s="237"/>
      <c r="AJ4245" s="238"/>
    </row>
    <row r="4246" spans="1:39" ht="12.75" x14ac:dyDescent="0.2">
      <c r="AL4246" s="226"/>
      <c r="AM4246" s="226"/>
    </row>
    <row r="4247" spans="1:39" ht="12.75" x14ac:dyDescent="0.2">
      <c r="A4247" s="236"/>
      <c r="B4247" s="236"/>
      <c r="C4247" s="236"/>
      <c r="D4247" s="236"/>
      <c r="E4247" s="237"/>
      <c r="G4247" s="237"/>
      <c r="H4247" s="237"/>
      <c r="I4247" s="237"/>
      <c r="K4247" s="237"/>
      <c r="N4247" s="237"/>
      <c r="O4247" s="237"/>
      <c r="P4247" s="237"/>
      <c r="Q4247" s="237"/>
      <c r="AL4247" s="226"/>
      <c r="AM4247" s="226"/>
    </row>
    <row r="4248" spans="1:39" x14ac:dyDescent="0.25">
      <c r="AA4248" s="237"/>
      <c r="AB4248" s="237"/>
      <c r="AC4248" s="237"/>
      <c r="AD4248" s="237"/>
      <c r="AE4248" s="237"/>
      <c r="AF4248" s="237"/>
      <c r="AG4248" s="237"/>
      <c r="AH4248" s="237"/>
      <c r="AJ4248" s="238"/>
    </row>
    <row r="4249" spans="1:39" ht="12.75" x14ac:dyDescent="0.2">
      <c r="AL4249" s="226"/>
      <c r="AM4249" s="226"/>
    </row>
    <row r="4250" spans="1:39" ht="12.75" x14ac:dyDescent="0.2">
      <c r="A4250" s="236"/>
      <c r="B4250" s="236"/>
      <c r="C4250" s="236"/>
      <c r="D4250" s="236"/>
      <c r="E4250" s="237"/>
      <c r="G4250" s="237"/>
      <c r="H4250" s="237"/>
      <c r="I4250" s="237"/>
      <c r="K4250" s="237"/>
      <c r="N4250" s="237"/>
      <c r="O4250" s="237"/>
      <c r="P4250" s="237"/>
      <c r="Q4250" s="237"/>
      <c r="AL4250" s="226"/>
      <c r="AM4250" s="226"/>
    </row>
    <row r="4251" spans="1:39" x14ac:dyDescent="0.25">
      <c r="AA4251" s="237"/>
      <c r="AB4251" s="237"/>
      <c r="AC4251" s="237"/>
      <c r="AD4251" s="237"/>
      <c r="AE4251" s="237"/>
      <c r="AF4251" s="237"/>
      <c r="AG4251" s="237"/>
      <c r="AH4251" s="237"/>
      <c r="AJ4251" s="238"/>
    </row>
    <row r="4252" spans="1:39" x14ac:dyDescent="0.25">
      <c r="AA4252" s="237"/>
      <c r="AB4252" s="237"/>
      <c r="AC4252" s="237"/>
      <c r="AD4252" s="237"/>
      <c r="AE4252" s="237"/>
      <c r="AF4252" s="237"/>
      <c r="AG4252" s="237"/>
      <c r="AH4252" s="237"/>
      <c r="AJ4252" s="238"/>
    </row>
    <row r="4253" spans="1:39" x14ac:dyDescent="0.25">
      <c r="AA4253" s="237"/>
      <c r="AB4253" s="237"/>
      <c r="AC4253" s="237"/>
      <c r="AD4253" s="237"/>
      <c r="AE4253" s="237"/>
      <c r="AF4253" s="237"/>
      <c r="AG4253" s="237"/>
      <c r="AH4253" s="237"/>
      <c r="AJ4253" s="238"/>
    </row>
    <row r="4254" spans="1:39" x14ac:dyDescent="0.25">
      <c r="AA4254" s="237"/>
      <c r="AB4254" s="237"/>
      <c r="AC4254" s="237"/>
      <c r="AD4254" s="237"/>
      <c r="AE4254" s="237"/>
      <c r="AF4254" s="237"/>
      <c r="AG4254" s="237"/>
      <c r="AH4254" s="237"/>
      <c r="AJ4254" s="238"/>
    </row>
    <row r="4255" spans="1:39" x14ac:dyDescent="0.25">
      <c r="AA4255" s="237"/>
      <c r="AB4255" s="237"/>
      <c r="AC4255" s="237"/>
      <c r="AD4255" s="237"/>
      <c r="AE4255" s="237"/>
      <c r="AF4255" s="237"/>
      <c r="AG4255" s="237"/>
      <c r="AH4255" s="237"/>
      <c r="AJ4255" s="238"/>
    </row>
    <row r="4256" spans="1:39" ht="12.75" x14ac:dyDescent="0.2">
      <c r="AL4256" s="226"/>
      <c r="AM4256" s="226"/>
    </row>
    <row r="4257" spans="1:39" ht="12.75" x14ac:dyDescent="0.2">
      <c r="A4257" s="236"/>
      <c r="B4257" s="236"/>
      <c r="C4257" s="236"/>
      <c r="D4257" s="236"/>
      <c r="E4257" s="237"/>
      <c r="G4257" s="237"/>
      <c r="H4257" s="237"/>
      <c r="I4257" s="237"/>
      <c r="K4257" s="237"/>
      <c r="N4257" s="237"/>
      <c r="O4257" s="237"/>
      <c r="P4257" s="237"/>
      <c r="Q4257" s="237"/>
      <c r="AL4257" s="226"/>
      <c r="AM4257" s="226"/>
    </row>
    <row r="4258" spans="1:39" x14ac:dyDescent="0.25">
      <c r="AA4258" s="237"/>
      <c r="AB4258" s="237"/>
      <c r="AC4258" s="237"/>
      <c r="AD4258" s="237"/>
      <c r="AE4258" s="237"/>
      <c r="AF4258" s="237"/>
      <c r="AG4258" s="237"/>
      <c r="AH4258" s="237"/>
      <c r="AJ4258" s="238"/>
    </row>
    <row r="4259" spans="1:39" x14ac:dyDescent="0.25">
      <c r="AA4259" s="237"/>
      <c r="AB4259" s="237"/>
      <c r="AC4259" s="237"/>
      <c r="AD4259" s="237"/>
      <c r="AE4259" s="237"/>
      <c r="AF4259" s="237"/>
      <c r="AG4259" s="237"/>
      <c r="AH4259" s="237"/>
      <c r="AJ4259" s="238"/>
    </row>
    <row r="4260" spans="1:39" x14ac:dyDescent="0.25">
      <c r="AA4260" s="237"/>
      <c r="AB4260" s="237"/>
      <c r="AC4260" s="237"/>
      <c r="AD4260" s="237"/>
      <c r="AE4260" s="237"/>
      <c r="AF4260" s="237"/>
      <c r="AG4260" s="237"/>
      <c r="AH4260" s="237"/>
      <c r="AJ4260" s="238"/>
    </row>
    <row r="4261" spans="1:39" x14ac:dyDescent="0.25">
      <c r="AA4261" s="237"/>
      <c r="AB4261" s="237"/>
      <c r="AC4261" s="237"/>
      <c r="AD4261" s="237"/>
      <c r="AE4261" s="237"/>
      <c r="AF4261" s="237"/>
      <c r="AG4261" s="237"/>
      <c r="AH4261" s="237"/>
      <c r="AJ4261" s="238"/>
    </row>
    <row r="4262" spans="1:39" x14ac:dyDescent="0.25">
      <c r="AA4262" s="237"/>
      <c r="AB4262" s="237"/>
      <c r="AC4262" s="237"/>
      <c r="AD4262" s="237"/>
      <c r="AE4262" s="237"/>
      <c r="AF4262" s="237"/>
      <c r="AG4262" s="237"/>
      <c r="AH4262" s="237"/>
      <c r="AJ4262" s="238"/>
    </row>
    <row r="4263" spans="1:39" x14ac:dyDescent="0.25">
      <c r="AA4263" s="237"/>
      <c r="AB4263" s="237"/>
      <c r="AC4263" s="237"/>
      <c r="AD4263" s="237"/>
      <c r="AE4263" s="237"/>
      <c r="AF4263" s="237"/>
      <c r="AG4263" s="237"/>
      <c r="AH4263" s="237"/>
      <c r="AJ4263" s="238"/>
    </row>
    <row r="4264" spans="1:39" x14ac:dyDescent="0.25">
      <c r="AA4264" s="237"/>
      <c r="AB4264" s="237"/>
      <c r="AC4264" s="237"/>
      <c r="AD4264" s="237"/>
      <c r="AE4264" s="237"/>
      <c r="AF4264" s="237"/>
      <c r="AG4264" s="237"/>
      <c r="AH4264" s="237"/>
      <c r="AJ4264" s="238"/>
    </row>
    <row r="4265" spans="1:39" x14ac:dyDescent="0.25">
      <c r="AA4265" s="237"/>
      <c r="AB4265" s="237"/>
      <c r="AC4265" s="237"/>
      <c r="AD4265" s="237"/>
      <c r="AE4265" s="237"/>
      <c r="AF4265" s="237"/>
      <c r="AG4265" s="237"/>
      <c r="AH4265" s="237"/>
      <c r="AJ4265" s="238"/>
    </row>
    <row r="4266" spans="1:39" x14ac:dyDescent="0.25">
      <c r="AA4266" s="237"/>
      <c r="AB4266" s="237"/>
      <c r="AC4266" s="237"/>
      <c r="AD4266" s="237"/>
      <c r="AE4266" s="237"/>
      <c r="AF4266" s="237"/>
      <c r="AG4266" s="237"/>
      <c r="AH4266" s="237"/>
      <c r="AJ4266" s="238"/>
    </row>
    <row r="4267" spans="1:39" x14ac:dyDescent="0.25">
      <c r="AA4267" s="237"/>
      <c r="AB4267" s="237"/>
      <c r="AC4267" s="237"/>
      <c r="AD4267" s="237"/>
      <c r="AE4267" s="237"/>
      <c r="AF4267" s="237"/>
      <c r="AG4267" s="237"/>
      <c r="AH4267" s="237"/>
      <c r="AJ4267" s="238"/>
    </row>
    <row r="4268" spans="1:39" x14ac:dyDescent="0.25">
      <c r="AA4268" s="237"/>
      <c r="AB4268" s="237"/>
      <c r="AC4268" s="237"/>
      <c r="AD4268" s="237"/>
      <c r="AE4268" s="237"/>
      <c r="AF4268" s="237"/>
      <c r="AG4268" s="237"/>
      <c r="AH4268" s="237"/>
      <c r="AJ4268" s="238"/>
    </row>
    <row r="4269" spans="1:39" ht="12.75" x14ac:dyDescent="0.2">
      <c r="AL4269" s="226"/>
      <c r="AM4269" s="226"/>
    </row>
    <row r="4270" spans="1:39" ht="12.75" x14ac:dyDescent="0.2">
      <c r="A4270" s="236"/>
      <c r="B4270" s="236"/>
      <c r="C4270" s="236"/>
      <c r="D4270" s="236"/>
      <c r="E4270" s="237"/>
      <c r="G4270" s="237"/>
      <c r="H4270" s="237"/>
      <c r="I4270" s="237"/>
      <c r="K4270" s="237"/>
      <c r="N4270" s="237"/>
      <c r="O4270" s="237"/>
      <c r="P4270" s="237"/>
      <c r="Q4270" s="237"/>
      <c r="AL4270" s="226"/>
      <c r="AM4270" s="226"/>
    </row>
    <row r="4271" spans="1:39" x14ac:dyDescent="0.25">
      <c r="AA4271" s="237"/>
      <c r="AB4271" s="237"/>
      <c r="AC4271" s="237"/>
      <c r="AD4271" s="237"/>
      <c r="AE4271" s="237"/>
      <c r="AF4271" s="237"/>
      <c r="AG4271" s="237"/>
      <c r="AH4271" s="237"/>
      <c r="AJ4271" s="238"/>
    </row>
    <row r="4272" spans="1:39" x14ac:dyDescent="0.25">
      <c r="AA4272" s="237"/>
      <c r="AB4272" s="237"/>
      <c r="AC4272" s="237"/>
      <c r="AD4272" s="237"/>
      <c r="AE4272" s="237"/>
      <c r="AF4272" s="237"/>
      <c r="AG4272" s="237"/>
      <c r="AH4272" s="237"/>
      <c r="AJ4272" s="238"/>
    </row>
    <row r="4273" spans="1:39" ht="12.75" x14ac:dyDescent="0.2">
      <c r="AL4273" s="226"/>
      <c r="AM4273" s="226"/>
    </row>
    <row r="4274" spans="1:39" ht="12.75" x14ac:dyDescent="0.2">
      <c r="A4274" s="236"/>
      <c r="B4274" s="236"/>
      <c r="C4274" s="236"/>
      <c r="D4274" s="236"/>
      <c r="E4274" s="237"/>
      <c r="G4274" s="237"/>
      <c r="H4274" s="237"/>
      <c r="I4274" s="237"/>
      <c r="K4274" s="237"/>
      <c r="N4274" s="237"/>
      <c r="O4274" s="237"/>
      <c r="P4274" s="237"/>
      <c r="Q4274" s="237"/>
      <c r="AL4274" s="226"/>
      <c r="AM4274" s="226"/>
    </row>
    <row r="4275" spans="1:39" x14ac:dyDescent="0.25">
      <c r="AA4275" s="237"/>
      <c r="AB4275" s="237"/>
      <c r="AC4275" s="237"/>
      <c r="AD4275" s="237"/>
      <c r="AE4275" s="237"/>
      <c r="AF4275" s="237"/>
      <c r="AG4275" s="237"/>
      <c r="AH4275" s="237"/>
      <c r="AJ4275" s="238"/>
    </row>
    <row r="4276" spans="1:39" x14ac:dyDescent="0.25">
      <c r="AA4276" s="237"/>
      <c r="AB4276" s="237"/>
      <c r="AC4276" s="237"/>
      <c r="AD4276" s="237"/>
      <c r="AE4276" s="237"/>
      <c r="AF4276" s="237"/>
      <c r="AG4276" s="237"/>
      <c r="AH4276" s="237"/>
      <c r="AJ4276" s="238"/>
    </row>
    <row r="4277" spans="1:39" x14ac:dyDescent="0.25">
      <c r="AA4277" s="237"/>
      <c r="AB4277" s="237"/>
      <c r="AC4277" s="237"/>
      <c r="AD4277" s="237"/>
      <c r="AE4277" s="237"/>
      <c r="AF4277" s="237"/>
      <c r="AG4277" s="237"/>
      <c r="AH4277" s="237"/>
      <c r="AJ4277" s="238"/>
    </row>
    <row r="4278" spans="1:39" x14ac:dyDescent="0.25">
      <c r="AA4278" s="237"/>
      <c r="AB4278" s="237"/>
      <c r="AC4278" s="237"/>
      <c r="AD4278" s="237"/>
      <c r="AE4278" s="237"/>
      <c r="AF4278" s="237"/>
      <c r="AG4278" s="237"/>
      <c r="AH4278" s="237"/>
      <c r="AJ4278" s="238"/>
    </row>
    <row r="4279" spans="1:39" x14ac:dyDescent="0.25">
      <c r="AA4279" s="237"/>
      <c r="AB4279" s="237"/>
      <c r="AC4279" s="237"/>
      <c r="AD4279" s="237"/>
      <c r="AE4279" s="237"/>
      <c r="AF4279" s="237"/>
      <c r="AG4279" s="237"/>
      <c r="AH4279" s="237"/>
      <c r="AJ4279" s="238"/>
    </row>
    <row r="4280" spans="1:39" x14ac:dyDescent="0.25">
      <c r="AA4280" s="237"/>
      <c r="AB4280" s="237"/>
      <c r="AC4280" s="237"/>
      <c r="AD4280" s="237"/>
      <c r="AE4280" s="237"/>
      <c r="AF4280" s="237"/>
      <c r="AG4280" s="237"/>
      <c r="AH4280" s="237"/>
      <c r="AJ4280" s="238"/>
    </row>
    <row r="4281" spans="1:39" x14ac:dyDescent="0.25">
      <c r="AA4281" s="237"/>
      <c r="AB4281" s="237"/>
      <c r="AC4281" s="237"/>
      <c r="AD4281" s="237"/>
      <c r="AE4281" s="237"/>
      <c r="AF4281" s="237"/>
      <c r="AG4281" s="237"/>
      <c r="AH4281" s="237"/>
      <c r="AJ4281" s="238"/>
    </row>
    <row r="4282" spans="1:39" x14ac:dyDescent="0.25">
      <c r="AA4282" s="237"/>
      <c r="AB4282" s="237"/>
      <c r="AC4282" s="237"/>
      <c r="AD4282" s="237"/>
      <c r="AE4282" s="237"/>
      <c r="AF4282" s="237"/>
      <c r="AG4282" s="237"/>
      <c r="AH4282" s="237"/>
      <c r="AJ4282" s="238"/>
    </row>
    <row r="4283" spans="1:39" ht="12.75" x14ac:dyDescent="0.2">
      <c r="AL4283" s="226"/>
      <c r="AM4283" s="226"/>
    </row>
    <row r="4284" spans="1:39" ht="12.75" x14ac:dyDescent="0.2">
      <c r="A4284" s="236"/>
      <c r="B4284" s="236"/>
      <c r="C4284" s="236"/>
      <c r="D4284" s="236"/>
      <c r="E4284" s="237"/>
      <c r="G4284" s="237"/>
      <c r="H4284" s="237"/>
      <c r="I4284" s="237"/>
      <c r="K4284" s="237"/>
      <c r="N4284" s="237"/>
      <c r="O4284" s="237"/>
      <c r="P4284" s="237"/>
      <c r="Q4284" s="237"/>
      <c r="AL4284" s="226"/>
      <c r="AM4284" s="226"/>
    </row>
    <row r="4285" spans="1:39" x14ac:dyDescent="0.25">
      <c r="AA4285" s="237"/>
      <c r="AB4285" s="237"/>
      <c r="AC4285" s="237"/>
      <c r="AD4285" s="237"/>
      <c r="AE4285" s="237"/>
      <c r="AF4285" s="237"/>
      <c r="AG4285" s="237"/>
      <c r="AH4285" s="237"/>
      <c r="AJ4285" s="238"/>
    </row>
    <row r="4286" spans="1:39" x14ac:dyDescent="0.25">
      <c r="AA4286" s="237"/>
      <c r="AB4286" s="237"/>
      <c r="AC4286" s="237"/>
      <c r="AD4286" s="237"/>
      <c r="AE4286" s="237"/>
      <c r="AF4286" s="237"/>
      <c r="AG4286" s="237"/>
      <c r="AH4286" s="237"/>
      <c r="AJ4286" s="238"/>
    </row>
    <row r="4287" spans="1:39" ht="12.75" x14ac:dyDescent="0.2">
      <c r="AL4287" s="226"/>
      <c r="AM4287" s="226"/>
    </row>
    <row r="4288" spans="1:39" ht="12.75" x14ac:dyDescent="0.2">
      <c r="A4288" s="236"/>
      <c r="B4288" s="236"/>
      <c r="C4288" s="236"/>
      <c r="D4288" s="236"/>
      <c r="E4288" s="237"/>
      <c r="G4288" s="237"/>
      <c r="H4288" s="237"/>
      <c r="I4288" s="237"/>
      <c r="K4288" s="237"/>
      <c r="N4288" s="237"/>
      <c r="O4288" s="237"/>
      <c r="P4288" s="237"/>
      <c r="Q4288" s="237"/>
      <c r="AL4288" s="226"/>
      <c r="AM4288" s="226"/>
    </row>
    <row r="4289" spans="1:39" x14ac:dyDescent="0.25">
      <c r="AA4289" s="237"/>
      <c r="AB4289" s="237"/>
      <c r="AC4289" s="237"/>
      <c r="AD4289" s="237"/>
      <c r="AE4289" s="237"/>
      <c r="AF4289" s="237"/>
      <c r="AG4289" s="237"/>
      <c r="AH4289" s="237"/>
      <c r="AJ4289" s="238"/>
    </row>
    <row r="4290" spans="1:39" ht="12.75" x14ac:dyDescent="0.2">
      <c r="AL4290" s="226"/>
      <c r="AM4290" s="226"/>
    </row>
    <row r="4291" spans="1:39" ht="12.75" x14ac:dyDescent="0.2">
      <c r="A4291" s="236"/>
      <c r="B4291" s="236"/>
      <c r="C4291" s="236"/>
      <c r="D4291" s="236"/>
      <c r="E4291" s="237"/>
      <c r="G4291" s="237"/>
      <c r="H4291" s="237"/>
      <c r="I4291" s="237"/>
      <c r="K4291" s="237"/>
      <c r="N4291" s="237"/>
      <c r="O4291" s="237"/>
      <c r="P4291" s="237"/>
      <c r="Q4291" s="237"/>
      <c r="AL4291" s="226"/>
      <c r="AM4291" s="226"/>
    </row>
    <row r="4292" spans="1:39" x14ac:dyDescent="0.25">
      <c r="AA4292" s="237"/>
      <c r="AB4292" s="237"/>
      <c r="AC4292" s="237"/>
      <c r="AD4292" s="237"/>
      <c r="AE4292" s="237"/>
      <c r="AF4292" s="237"/>
      <c r="AG4292" s="237"/>
      <c r="AH4292" s="237"/>
      <c r="AJ4292" s="238"/>
    </row>
    <row r="4293" spans="1:39" x14ac:dyDescent="0.25">
      <c r="AA4293" s="237"/>
      <c r="AB4293" s="237"/>
      <c r="AC4293" s="237"/>
      <c r="AD4293" s="237"/>
      <c r="AE4293" s="237"/>
      <c r="AF4293" s="237"/>
      <c r="AG4293" s="237"/>
      <c r="AH4293" s="237"/>
      <c r="AJ4293" s="238"/>
    </row>
    <row r="4294" spans="1:39" x14ac:dyDescent="0.25">
      <c r="AA4294" s="237"/>
      <c r="AB4294" s="237"/>
      <c r="AC4294" s="237"/>
      <c r="AD4294" s="237"/>
      <c r="AE4294" s="237"/>
      <c r="AF4294" s="237"/>
      <c r="AG4294" s="237"/>
      <c r="AH4294" s="237"/>
      <c r="AJ4294" s="238"/>
    </row>
    <row r="4295" spans="1:39" ht="12.75" x14ac:dyDescent="0.2">
      <c r="AL4295" s="226"/>
      <c r="AM4295" s="226"/>
    </row>
    <row r="4296" spans="1:39" ht="12.75" x14ac:dyDescent="0.2">
      <c r="A4296" s="236"/>
      <c r="B4296" s="236"/>
      <c r="C4296" s="236"/>
      <c r="D4296" s="236"/>
      <c r="E4296" s="237"/>
      <c r="G4296" s="237"/>
      <c r="H4296" s="237"/>
      <c r="I4296" s="237"/>
      <c r="K4296" s="237"/>
      <c r="N4296" s="237"/>
      <c r="O4296" s="237"/>
      <c r="P4296" s="237"/>
      <c r="Q4296" s="237"/>
      <c r="AL4296" s="226"/>
      <c r="AM4296" s="226"/>
    </row>
    <row r="4297" spans="1:39" x14ac:dyDescent="0.25">
      <c r="AA4297" s="237"/>
      <c r="AB4297" s="237"/>
      <c r="AC4297" s="237"/>
      <c r="AD4297" s="237"/>
      <c r="AE4297" s="237"/>
      <c r="AF4297" s="237"/>
      <c r="AG4297" s="237"/>
      <c r="AH4297" s="237"/>
      <c r="AJ4297" s="238"/>
    </row>
    <row r="4298" spans="1:39" ht="12.75" x14ac:dyDescent="0.2">
      <c r="AL4298" s="226"/>
      <c r="AM4298" s="226"/>
    </row>
    <row r="4299" spans="1:39" ht="12.75" x14ac:dyDescent="0.2">
      <c r="A4299" s="236"/>
      <c r="B4299" s="236"/>
      <c r="C4299" s="236"/>
      <c r="D4299" s="236"/>
      <c r="E4299" s="237"/>
      <c r="G4299" s="237"/>
      <c r="H4299" s="237"/>
      <c r="I4299" s="237"/>
      <c r="K4299" s="237"/>
      <c r="N4299" s="237"/>
      <c r="O4299" s="237"/>
      <c r="P4299" s="237"/>
      <c r="Q4299" s="237"/>
      <c r="AL4299" s="226"/>
      <c r="AM4299" s="226"/>
    </row>
    <row r="4300" spans="1:39" x14ac:dyDescent="0.25">
      <c r="AA4300" s="237"/>
      <c r="AB4300" s="237"/>
      <c r="AC4300" s="237"/>
      <c r="AD4300" s="237"/>
      <c r="AE4300" s="237"/>
      <c r="AF4300" s="237"/>
      <c r="AG4300" s="237"/>
      <c r="AH4300" s="237"/>
      <c r="AJ4300" s="238"/>
    </row>
    <row r="4301" spans="1:39" x14ac:dyDescent="0.25">
      <c r="AA4301" s="237"/>
      <c r="AB4301" s="237"/>
      <c r="AC4301" s="237"/>
      <c r="AD4301" s="237"/>
      <c r="AE4301" s="237"/>
      <c r="AF4301" s="237"/>
      <c r="AG4301" s="237"/>
      <c r="AH4301" s="237"/>
      <c r="AJ4301" s="238"/>
    </row>
    <row r="4302" spans="1:39" ht="12.75" x14ac:dyDescent="0.2">
      <c r="AL4302" s="226"/>
      <c r="AM4302" s="226"/>
    </row>
    <row r="4303" spans="1:39" ht="12.75" x14ac:dyDescent="0.2">
      <c r="A4303" s="236"/>
      <c r="B4303" s="236"/>
      <c r="C4303" s="236"/>
      <c r="D4303" s="236"/>
      <c r="E4303" s="237"/>
      <c r="G4303" s="237"/>
      <c r="H4303" s="237"/>
      <c r="I4303" s="237"/>
      <c r="K4303" s="237"/>
      <c r="N4303" s="237"/>
      <c r="O4303" s="237"/>
      <c r="P4303" s="237"/>
      <c r="Q4303" s="237"/>
      <c r="AL4303" s="226"/>
      <c r="AM4303" s="226"/>
    </row>
    <row r="4304" spans="1:39" x14ac:dyDescent="0.25">
      <c r="AA4304" s="237"/>
      <c r="AB4304" s="237"/>
      <c r="AC4304" s="237"/>
      <c r="AD4304" s="237"/>
      <c r="AE4304" s="237"/>
      <c r="AF4304" s="237"/>
      <c r="AG4304" s="237"/>
      <c r="AH4304" s="237"/>
      <c r="AJ4304" s="238"/>
    </row>
    <row r="4305" spans="1:39" x14ac:dyDescent="0.25">
      <c r="AA4305" s="237"/>
      <c r="AB4305" s="237"/>
      <c r="AC4305" s="237"/>
      <c r="AD4305" s="237"/>
      <c r="AE4305" s="237"/>
      <c r="AF4305" s="237"/>
      <c r="AG4305" s="237"/>
      <c r="AH4305" s="237"/>
      <c r="AJ4305" s="238"/>
    </row>
    <row r="4306" spans="1:39" x14ac:dyDescent="0.25">
      <c r="AA4306" s="237"/>
      <c r="AB4306" s="237"/>
      <c r="AC4306" s="237"/>
      <c r="AD4306" s="237"/>
      <c r="AE4306" s="237"/>
      <c r="AF4306" s="237"/>
      <c r="AG4306" s="237"/>
      <c r="AH4306" s="237"/>
      <c r="AJ4306" s="238"/>
    </row>
    <row r="4307" spans="1:39" x14ac:dyDescent="0.25">
      <c r="AA4307" s="237"/>
      <c r="AB4307" s="237"/>
      <c r="AC4307" s="237"/>
      <c r="AD4307" s="237"/>
      <c r="AE4307" s="237"/>
      <c r="AF4307" s="237"/>
      <c r="AG4307" s="237"/>
      <c r="AH4307" s="237"/>
      <c r="AJ4307" s="238"/>
    </row>
    <row r="4308" spans="1:39" x14ac:dyDescent="0.25">
      <c r="AA4308" s="237"/>
      <c r="AB4308" s="237"/>
      <c r="AC4308" s="237"/>
      <c r="AD4308" s="237"/>
      <c r="AE4308" s="237"/>
      <c r="AF4308" s="237"/>
      <c r="AG4308" s="237"/>
      <c r="AH4308" s="237"/>
      <c r="AJ4308" s="238"/>
    </row>
    <row r="4309" spans="1:39" x14ac:dyDescent="0.25">
      <c r="AA4309" s="237"/>
      <c r="AB4309" s="237"/>
      <c r="AC4309" s="237"/>
      <c r="AD4309" s="237"/>
      <c r="AE4309" s="237"/>
      <c r="AF4309" s="237"/>
      <c r="AG4309" s="237"/>
      <c r="AH4309" s="237"/>
      <c r="AJ4309" s="238"/>
    </row>
    <row r="4310" spans="1:39" x14ac:dyDescent="0.25">
      <c r="AA4310" s="237"/>
      <c r="AB4310" s="237"/>
      <c r="AC4310" s="237"/>
      <c r="AD4310" s="237"/>
      <c r="AE4310" s="237"/>
      <c r="AF4310" s="237"/>
      <c r="AG4310" s="237"/>
      <c r="AH4310" s="237"/>
      <c r="AJ4310" s="238"/>
    </row>
    <row r="4311" spans="1:39" ht="12.75" x14ac:dyDescent="0.2">
      <c r="AL4311" s="226"/>
      <c r="AM4311" s="226"/>
    </row>
    <row r="4312" spans="1:39" ht="12.75" x14ac:dyDescent="0.2">
      <c r="A4312" s="236"/>
      <c r="B4312" s="236"/>
      <c r="C4312" s="236"/>
      <c r="D4312" s="236"/>
      <c r="E4312" s="237"/>
      <c r="G4312" s="237"/>
      <c r="H4312" s="237"/>
      <c r="I4312" s="237"/>
      <c r="K4312" s="237"/>
      <c r="N4312" s="237"/>
      <c r="O4312" s="237"/>
      <c r="P4312" s="237"/>
      <c r="Q4312" s="237"/>
      <c r="AL4312" s="226"/>
      <c r="AM4312" s="226"/>
    </row>
    <row r="4313" spans="1:39" x14ac:dyDescent="0.25">
      <c r="AA4313" s="237"/>
      <c r="AB4313" s="237"/>
      <c r="AC4313" s="237"/>
      <c r="AD4313" s="237"/>
      <c r="AE4313" s="237"/>
      <c r="AF4313" s="237"/>
      <c r="AG4313" s="237"/>
      <c r="AH4313" s="237"/>
      <c r="AJ4313" s="238"/>
    </row>
    <row r="4314" spans="1:39" x14ac:dyDescent="0.25">
      <c r="AA4314" s="237"/>
      <c r="AB4314" s="237"/>
      <c r="AC4314" s="237"/>
      <c r="AD4314" s="237"/>
      <c r="AE4314" s="237"/>
      <c r="AF4314" s="237"/>
      <c r="AG4314" s="237"/>
      <c r="AH4314" s="237"/>
      <c r="AJ4314" s="238"/>
    </row>
    <row r="4315" spans="1:39" ht="12.75" x14ac:dyDescent="0.2">
      <c r="AL4315" s="226"/>
      <c r="AM4315" s="226"/>
    </row>
    <row r="4316" spans="1:39" ht="12.75" x14ac:dyDescent="0.2">
      <c r="A4316" s="236"/>
      <c r="B4316" s="236"/>
      <c r="C4316" s="236"/>
      <c r="D4316" s="236"/>
      <c r="E4316" s="237"/>
      <c r="G4316" s="237"/>
      <c r="H4316" s="237"/>
      <c r="I4316" s="237"/>
      <c r="K4316" s="237"/>
      <c r="N4316" s="237"/>
      <c r="O4316" s="237"/>
      <c r="P4316" s="237"/>
      <c r="Q4316" s="237"/>
      <c r="AL4316" s="226"/>
      <c r="AM4316" s="226"/>
    </row>
    <row r="4317" spans="1:39" x14ac:dyDescent="0.25">
      <c r="AA4317" s="237"/>
      <c r="AB4317" s="237"/>
      <c r="AC4317" s="237"/>
      <c r="AD4317" s="237"/>
      <c r="AE4317" s="237"/>
      <c r="AF4317" s="237"/>
      <c r="AG4317" s="237"/>
      <c r="AH4317" s="237"/>
      <c r="AJ4317" s="238"/>
    </row>
    <row r="4318" spans="1:39" ht="12.75" x14ac:dyDescent="0.2">
      <c r="AL4318" s="226"/>
      <c r="AM4318" s="226"/>
    </row>
    <row r="4319" spans="1:39" ht="12.75" x14ac:dyDescent="0.2">
      <c r="A4319" s="236"/>
      <c r="B4319" s="236"/>
      <c r="C4319" s="236"/>
      <c r="D4319" s="236"/>
      <c r="E4319" s="237"/>
      <c r="G4319" s="237"/>
      <c r="H4319" s="237"/>
      <c r="I4319" s="237"/>
      <c r="K4319" s="237"/>
      <c r="N4319" s="237"/>
      <c r="O4319" s="237"/>
      <c r="P4319" s="237"/>
      <c r="Q4319" s="237"/>
      <c r="AL4319" s="226"/>
      <c r="AM4319" s="226"/>
    </row>
    <row r="4320" spans="1:39" x14ac:dyDescent="0.25">
      <c r="AA4320" s="237"/>
      <c r="AB4320" s="237"/>
      <c r="AC4320" s="237"/>
      <c r="AD4320" s="237"/>
      <c r="AE4320" s="237"/>
      <c r="AF4320" s="237"/>
      <c r="AG4320" s="237"/>
      <c r="AH4320" s="237"/>
      <c r="AJ4320" s="238"/>
    </row>
    <row r="4321" spans="1:39" ht="12.75" x14ac:dyDescent="0.2">
      <c r="AL4321" s="226"/>
      <c r="AM4321" s="226"/>
    </row>
    <row r="4322" spans="1:39" ht="12.75" x14ac:dyDescent="0.2">
      <c r="A4322" s="236"/>
      <c r="B4322" s="236"/>
      <c r="C4322" s="236"/>
      <c r="D4322" s="236"/>
      <c r="E4322" s="237"/>
      <c r="G4322" s="237"/>
      <c r="H4322" s="237"/>
      <c r="I4322" s="237"/>
      <c r="K4322" s="237"/>
      <c r="N4322" s="237"/>
      <c r="O4322" s="237"/>
      <c r="P4322" s="237"/>
      <c r="Q4322" s="237"/>
      <c r="AL4322" s="226"/>
      <c r="AM4322" s="226"/>
    </row>
    <row r="4323" spans="1:39" x14ac:dyDescent="0.25">
      <c r="AA4323" s="237"/>
      <c r="AB4323" s="237"/>
      <c r="AC4323" s="237"/>
      <c r="AD4323" s="237"/>
      <c r="AE4323" s="237"/>
      <c r="AF4323" s="237"/>
      <c r="AG4323" s="237"/>
      <c r="AH4323" s="237"/>
      <c r="AJ4323" s="238"/>
    </row>
    <row r="4324" spans="1:39" ht="12.75" x14ac:dyDescent="0.2">
      <c r="AL4324" s="226"/>
      <c r="AM4324" s="226"/>
    </row>
    <row r="4325" spans="1:39" ht="12.75" x14ac:dyDescent="0.2">
      <c r="A4325" s="236"/>
      <c r="B4325" s="236"/>
      <c r="C4325" s="236"/>
      <c r="D4325" s="236"/>
      <c r="E4325" s="237"/>
      <c r="G4325" s="237"/>
      <c r="H4325" s="237"/>
      <c r="I4325" s="237"/>
      <c r="K4325" s="237"/>
      <c r="N4325" s="237"/>
      <c r="O4325" s="237"/>
      <c r="P4325" s="237"/>
      <c r="Q4325" s="237"/>
      <c r="AL4325" s="226"/>
      <c r="AM4325" s="226"/>
    </row>
    <row r="4326" spans="1:39" x14ac:dyDescent="0.25">
      <c r="AA4326" s="237"/>
      <c r="AB4326" s="237"/>
      <c r="AC4326" s="237"/>
      <c r="AD4326" s="237"/>
      <c r="AE4326" s="237"/>
      <c r="AF4326" s="237"/>
      <c r="AG4326" s="237"/>
      <c r="AH4326" s="237"/>
      <c r="AJ4326" s="238"/>
    </row>
    <row r="4327" spans="1:39" x14ac:dyDescent="0.25">
      <c r="AA4327" s="237"/>
      <c r="AB4327" s="237"/>
      <c r="AC4327" s="237"/>
      <c r="AD4327" s="237"/>
      <c r="AE4327" s="237"/>
      <c r="AF4327" s="237"/>
      <c r="AG4327" s="237"/>
      <c r="AH4327" s="237"/>
      <c r="AJ4327" s="238"/>
    </row>
    <row r="4328" spans="1:39" ht="12.75" x14ac:dyDescent="0.2">
      <c r="AL4328" s="226"/>
      <c r="AM4328" s="226"/>
    </row>
    <row r="4329" spans="1:39" ht="12.75" x14ac:dyDescent="0.2">
      <c r="A4329" s="236"/>
      <c r="B4329" s="236"/>
      <c r="C4329" s="236"/>
      <c r="D4329" s="236"/>
      <c r="E4329" s="237"/>
      <c r="G4329" s="237"/>
      <c r="H4329" s="237"/>
      <c r="I4329" s="237"/>
      <c r="K4329" s="237"/>
      <c r="N4329" s="237"/>
      <c r="O4329" s="237"/>
      <c r="P4329" s="237"/>
      <c r="Q4329" s="237"/>
      <c r="AL4329" s="226"/>
      <c r="AM4329" s="226"/>
    </row>
    <row r="4330" spans="1:39" x14ac:dyDescent="0.25">
      <c r="AA4330" s="237"/>
      <c r="AB4330" s="237"/>
      <c r="AC4330" s="237"/>
      <c r="AD4330" s="237"/>
      <c r="AE4330" s="237"/>
      <c r="AF4330" s="237"/>
      <c r="AG4330" s="237"/>
      <c r="AH4330" s="237"/>
      <c r="AJ4330" s="238"/>
    </row>
    <row r="4331" spans="1:39" x14ac:dyDescent="0.25">
      <c r="AA4331" s="237"/>
      <c r="AB4331" s="237"/>
      <c r="AC4331" s="237"/>
      <c r="AD4331" s="237"/>
      <c r="AE4331" s="237"/>
      <c r="AF4331" s="237"/>
      <c r="AG4331" s="237"/>
      <c r="AH4331" s="237"/>
      <c r="AJ4331" s="238"/>
    </row>
    <row r="4332" spans="1:39" x14ac:dyDescent="0.25">
      <c r="AA4332" s="237"/>
      <c r="AB4332" s="237"/>
      <c r="AC4332" s="237"/>
      <c r="AD4332" s="237"/>
      <c r="AE4332" s="237"/>
      <c r="AF4332" s="237"/>
      <c r="AG4332" s="237"/>
      <c r="AH4332" s="237"/>
      <c r="AJ4332" s="238"/>
    </row>
    <row r="4333" spans="1:39" x14ac:dyDescent="0.25">
      <c r="AA4333" s="237"/>
      <c r="AB4333" s="237"/>
      <c r="AC4333" s="237"/>
      <c r="AD4333" s="237"/>
      <c r="AE4333" s="237"/>
      <c r="AF4333" s="237"/>
      <c r="AG4333" s="237"/>
      <c r="AH4333" s="237"/>
      <c r="AJ4333" s="238"/>
    </row>
    <row r="4334" spans="1:39" x14ac:dyDescent="0.25">
      <c r="AA4334" s="237"/>
      <c r="AB4334" s="237"/>
      <c r="AC4334" s="237"/>
      <c r="AD4334" s="237"/>
      <c r="AE4334" s="237"/>
      <c r="AF4334" s="237"/>
      <c r="AG4334" s="237"/>
      <c r="AH4334" s="237"/>
      <c r="AJ4334" s="238"/>
    </row>
    <row r="4335" spans="1:39" x14ac:dyDescent="0.25">
      <c r="AA4335" s="237"/>
      <c r="AB4335" s="237"/>
      <c r="AC4335" s="237"/>
      <c r="AD4335" s="237"/>
      <c r="AE4335" s="237"/>
      <c r="AF4335" s="237"/>
      <c r="AG4335" s="237"/>
      <c r="AH4335" s="237"/>
      <c r="AJ4335" s="238"/>
    </row>
    <row r="4336" spans="1:39" x14ac:dyDescent="0.25">
      <c r="AA4336" s="237"/>
      <c r="AB4336" s="237"/>
      <c r="AC4336" s="237"/>
      <c r="AD4336" s="237"/>
      <c r="AE4336" s="237"/>
      <c r="AF4336" s="237"/>
      <c r="AG4336" s="237"/>
      <c r="AH4336" s="237"/>
      <c r="AJ4336" s="238"/>
    </row>
    <row r="4337" spans="1:39" x14ac:dyDescent="0.25">
      <c r="AA4337" s="237"/>
      <c r="AB4337" s="237"/>
      <c r="AC4337" s="237"/>
      <c r="AD4337" s="237"/>
      <c r="AE4337" s="237"/>
      <c r="AF4337" s="237"/>
      <c r="AG4337" s="237"/>
      <c r="AH4337" s="237"/>
      <c r="AJ4337" s="238"/>
    </row>
    <row r="4338" spans="1:39" x14ac:dyDescent="0.25">
      <c r="AA4338" s="237"/>
      <c r="AB4338" s="237"/>
      <c r="AC4338" s="237"/>
      <c r="AD4338" s="237"/>
      <c r="AE4338" s="237"/>
      <c r="AF4338" s="237"/>
      <c r="AG4338" s="237"/>
      <c r="AH4338" s="237"/>
      <c r="AJ4338" s="238"/>
    </row>
    <row r="4339" spans="1:39" x14ac:dyDescent="0.25">
      <c r="AA4339" s="237"/>
      <c r="AB4339" s="237"/>
      <c r="AC4339" s="237"/>
      <c r="AD4339" s="237"/>
      <c r="AE4339" s="237"/>
      <c r="AF4339" s="237"/>
      <c r="AG4339" s="237"/>
      <c r="AH4339" s="237"/>
      <c r="AJ4339" s="238"/>
    </row>
    <row r="4340" spans="1:39" x14ac:dyDescent="0.25">
      <c r="AA4340" s="237"/>
      <c r="AB4340" s="237"/>
      <c r="AC4340" s="237"/>
      <c r="AD4340" s="237"/>
      <c r="AE4340" s="237"/>
      <c r="AF4340" s="237"/>
      <c r="AG4340" s="237"/>
      <c r="AH4340" s="237"/>
      <c r="AJ4340" s="238"/>
    </row>
    <row r="4341" spans="1:39" ht="12.75" x14ac:dyDescent="0.2">
      <c r="AL4341" s="226"/>
      <c r="AM4341" s="226"/>
    </row>
    <row r="4342" spans="1:39" ht="12.75" x14ac:dyDescent="0.2">
      <c r="A4342" s="236"/>
      <c r="B4342" s="236"/>
      <c r="C4342" s="236"/>
      <c r="D4342" s="236"/>
      <c r="E4342" s="237"/>
      <c r="G4342" s="237"/>
      <c r="H4342" s="237"/>
      <c r="I4342" s="237"/>
      <c r="K4342" s="237"/>
      <c r="N4342" s="237"/>
      <c r="O4342" s="237"/>
      <c r="P4342" s="237"/>
      <c r="Q4342" s="237"/>
      <c r="AL4342" s="226"/>
      <c r="AM4342" s="226"/>
    </row>
    <row r="4343" spans="1:39" x14ac:dyDescent="0.25">
      <c r="AA4343" s="237"/>
      <c r="AB4343" s="237"/>
      <c r="AC4343" s="237"/>
      <c r="AD4343" s="237"/>
      <c r="AE4343" s="237"/>
      <c r="AF4343" s="237"/>
      <c r="AG4343" s="237"/>
      <c r="AH4343" s="237"/>
      <c r="AJ4343" s="238"/>
    </row>
    <row r="4344" spans="1:39" x14ac:dyDescent="0.25">
      <c r="AA4344" s="237"/>
      <c r="AB4344" s="237"/>
      <c r="AC4344" s="237"/>
      <c r="AD4344" s="237"/>
      <c r="AE4344" s="237"/>
      <c r="AF4344" s="237"/>
      <c r="AG4344" s="237"/>
      <c r="AH4344" s="237"/>
      <c r="AJ4344" s="238"/>
    </row>
    <row r="4345" spans="1:39" x14ac:dyDescent="0.25">
      <c r="AA4345" s="237"/>
      <c r="AB4345" s="237"/>
      <c r="AC4345" s="237"/>
      <c r="AD4345" s="237"/>
      <c r="AE4345" s="237"/>
      <c r="AF4345" s="237"/>
      <c r="AG4345" s="237"/>
      <c r="AH4345" s="237"/>
      <c r="AJ4345" s="238"/>
    </row>
    <row r="4346" spans="1:39" ht="12.75" x14ac:dyDescent="0.2">
      <c r="AL4346" s="226"/>
      <c r="AM4346" s="226"/>
    </row>
    <row r="4347" spans="1:39" ht="12.75" x14ac:dyDescent="0.2">
      <c r="A4347" s="236"/>
      <c r="B4347" s="236"/>
      <c r="C4347" s="236"/>
      <c r="D4347" s="236"/>
      <c r="E4347" s="237"/>
      <c r="G4347" s="237"/>
      <c r="H4347" s="237"/>
      <c r="I4347" s="237"/>
      <c r="K4347" s="237"/>
      <c r="N4347" s="237"/>
      <c r="O4347" s="237"/>
      <c r="P4347" s="237"/>
      <c r="Q4347" s="237"/>
      <c r="AL4347" s="226"/>
      <c r="AM4347" s="226"/>
    </row>
    <row r="4348" spans="1:39" x14ac:dyDescent="0.25">
      <c r="AA4348" s="237"/>
      <c r="AB4348" s="237"/>
      <c r="AC4348" s="237"/>
      <c r="AD4348" s="237"/>
      <c r="AE4348" s="237"/>
      <c r="AF4348" s="237"/>
      <c r="AG4348" s="237"/>
      <c r="AH4348" s="237"/>
      <c r="AJ4348" s="238"/>
    </row>
    <row r="4349" spans="1:39" ht="12.75" x14ac:dyDescent="0.2">
      <c r="AL4349" s="226"/>
      <c r="AM4349" s="226"/>
    </row>
    <row r="4350" spans="1:39" ht="12.75" x14ac:dyDescent="0.2">
      <c r="A4350" s="236"/>
      <c r="B4350" s="236"/>
      <c r="C4350" s="236"/>
      <c r="D4350" s="236"/>
      <c r="E4350" s="237"/>
      <c r="G4350" s="237"/>
      <c r="H4350" s="237"/>
      <c r="I4350" s="237"/>
      <c r="K4350" s="237"/>
      <c r="N4350" s="237"/>
      <c r="O4350" s="237"/>
      <c r="P4350" s="237"/>
      <c r="Q4350" s="237"/>
      <c r="AL4350" s="226"/>
      <c r="AM4350" s="226"/>
    </row>
    <row r="4351" spans="1:39" x14ac:dyDescent="0.25">
      <c r="AA4351" s="237"/>
      <c r="AB4351" s="237"/>
      <c r="AC4351" s="237"/>
      <c r="AD4351" s="237"/>
      <c r="AE4351" s="237"/>
      <c r="AF4351" s="237"/>
      <c r="AG4351" s="237"/>
      <c r="AH4351" s="237"/>
      <c r="AJ4351" s="238"/>
    </row>
    <row r="4352" spans="1:39" x14ac:dyDescent="0.25">
      <c r="AA4352" s="237"/>
      <c r="AB4352" s="237"/>
      <c r="AC4352" s="237"/>
      <c r="AD4352" s="237"/>
      <c r="AE4352" s="237"/>
      <c r="AF4352" s="237"/>
      <c r="AG4352" s="237"/>
      <c r="AH4352" s="237"/>
      <c r="AJ4352" s="238"/>
    </row>
    <row r="4353" spans="1:39" x14ac:dyDescent="0.25">
      <c r="AA4353" s="237"/>
      <c r="AB4353" s="237"/>
      <c r="AC4353" s="237"/>
      <c r="AD4353" s="237"/>
      <c r="AE4353" s="237"/>
      <c r="AF4353" s="237"/>
      <c r="AG4353" s="237"/>
      <c r="AH4353" s="237"/>
      <c r="AJ4353" s="238"/>
    </row>
    <row r="4354" spans="1:39" x14ac:dyDescent="0.25">
      <c r="AA4354" s="237"/>
      <c r="AB4354" s="237"/>
      <c r="AC4354" s="237"/>
      <c r="AD4354" s="237"/>
      <c r="AE4354" s="237"/>
      <c r="AF4354" s="237"/>
      <c r="AG4354" s="237"/>
      <c r="AH4354" s="237"/>
      <c r="AJ4354" s="238"/>
    </row>
    <row r="4355" spans="1:39" ht="12.75" x14ac:dyDescent="0.2">
      <c r="AL4355" s="226"/>
      <c r="AM4355" s="226"/>
    </row>
    <row r="4356" spans="1:39" ht="12.75" x14ac:dyDescent="0.2">
      <c r="A4356" s="236"/>
      <c r="B4356" s="236"/>
      <c r="C4356" s="236"/>
      <c r="D4356" s="236"/>
      <c r="E4356" s="237"/>
      <c r="G4356" s="237"/>
      <c r="H4356" s="237"/>
      <c r="I4356" s="237"/>
      <c r="K4356" s="237"/>
      <c r="N4356" s="237"/>
      <c r="O4356" s="237"/>
      <c r="P4356" s="237"/>
      <c r="Q4356" s="237"/>
      <c r="AL4356" s="226"/>
      <c r="AM4356" s="226"/>
    </row>
    <row r="4357" spans="1:39" x14ac:dyDescent="0.25">
      <c r="AA4357" s="237"/>
      <c r="AB4357" s="237"/>
      <c r="AC4357" s="237"/>
      <c r="AD4357" s="237"/>
      <c r="AE4357" s="237"/>
      <c r="AF4357" s="237"/>
      <c r="AG4357" s="237"/>
      <c r="AH4357" s="237"/>
      <c r="AJ4357" s="238"/>
    </row>
    <row r="4358" spans="1:39" x14ac:dyDescent="0.25">
      <c r="AA4358" s="237"/>
      <c r="AB4358" s="237"/>
      <c r="AC4358" s="237"/>
      <c r="AD4358" s="237"/>
      <c r="AE4358" s="237"/>
      <c r="AF4358" s="237"/>
      <c r="AG4358" s="237"/>
      <c r="AH4358" s="237"/>
      <c r="AJ4358" s="238"/>
    </row>
    <row r="4359" spans="1:39" x14ac:dyDescent="0.25">
      <c r="AA4359" s="237"/>
      <c r="AB4359" s="237"/>
      <c r="AC4359" s="237"/>
      <c r="AD4359" s="237"/>
      <c r="AE4359" s="237"/>
      <c r="AF4359" s="237"/>
      <c r="AG4359" s="237"/>
      <c r="AH4359" s="237"/>
      <c r="AJ4359" s="238"/>
    </row>
    <row r="4360" spans="1:39" x14ac:dyDescent="0.25">
      <c r="AA4360" s="237"/>
      <c r="AB4360" s="237"/>
      <c r="AC4360" s="237"/>
      <c r="AD4360" s="237"/>
      <c r="AE4360" s="237"/>
      <c r="AF4360" s="237"/>
      <c r="AG4360" s="237"/>
      <c r="AH4360" s="237"/>
      <c r="AJ4360" s="238"/>
    </row>
    <row r="4361" spans="1:39" ht="12.75" x14ac:dyDescent="0.2">
      <c r="AL4361" s="226"/>
      <c r="AM4361" s="226"/>
    </row>
    <row r="4362" spans="1:39" ht="12.75" x14ac:dyDescent="0.2">
      <c r="A4362" s="236"/>
      <c r="B4362" s="236"/>
      <c r="C4362" s="236"/>
      <c r="D4362" s="236"/>
      <c r="E4362" s="237"/>
      <c r="G4362" s="237"/>
      <c r="H4362" s="237"/>
      <c r="I4362" s="237"/>
      <c r="K4362" s="237"/>
      <c r="N4362" s="237"/>
      <c r="O4362" s="237"/>
      <c r="P4362" s="237"/>
      <c r="Q4362" s="237"/>
      <c r="AL4362" s="226"/>
      <c r="AM4362" s="226"/>
    </row>
    <row r="4363" spans="1:39" x14ac:dyDescent="0.25">
      <c r="AA4363" s="237"/>
      <c r="AB4363" s="237"/>
      <c r="AC4363" s="237"/>
      <c r="AD4363" s="237"/>
      <c r="AE4363" s="237"/>
      <c r="AF4363" s="237"/>
      <c r="AG4363" s="237"/>
      <c r="AH4363" s="237"/>
      <c r="AJ4363" s="238"/>
    </row>
    <row r="4364" spans="1:39" x14ac:dyDescent="0.25">
      <c r="AA4364" s="237"/>
      <c r="AB4364" s="237"/>
      <c r="AC4364" s="237"/>
      <c r="AD4364" s="237"/>
      <c r="AE4364" s="237"/>
      <c r="AF4364" s="237"/>
      <c r="AG4364" s="237"/>
      <c r="AH4364" s="237"/>
      <c r="AJ4364" s="238"/>
    </row>
    <row r="4365" spans="1:39" x14ac:dyDescent="0.25">
      <c r="AA4365" s="237"/>
      <c r="AB4365" s="237"/>
      <c r="AC4365" s="237"/>
      <c r="AD4365" s="237"/>
      <c r="AE4365" s="237"/>
      <c r="AF4365" s="237"/>
      <c r="AG4365" s="237"/>
      <c r="AH4365" s="237"/>
      <c r="AJ4365" s="238"/>
    </row>
    <row r="4366" spans="1:39" ht="12.75" x14ac:dyDescent="0.2">
      <c r="AL4366" s="226"/>
      <c r="AM4366" s="226"/>
    </row>
    <row r="4367" spans="1:39" ht="12.75" x14ac:dyDescent="0.2">
      <c r="A4367" s="236"/>
      <c r="B4367" s="236"/>
      <c r="C4367" s="236"/>
      <c r="D4367" s="236"/>
      <c r="E4367" s="237"/>
      <c r="G4367" s="237"/>
      <c r="H4367" s="237"/>
      <c r="I4367" s="237"/>
      <c r="K4367" s="237"/>
      <c r="N4367" s="237"/>
      <c r="O4367" s="237"/>
      <c r="P4367" s="237"/>
      <c r="Q4367" s="237"/>
      <c r="AL4367" s="226"/>
      <c r="AM4367" s="226"/>
    </row>
    <row r="4368" spans="1:39" x14ac:dyDescent="0.25">
      <c r="AA4368" s="237"/>
      <c r="AB4368" s="237"/>
      <c r="AC4368" s="237"/>
      <c r="AD4368" s="237"/>
      <c r="AE4368" s="237"/>
      <c r="AF4368" s="237"/>
      <c r="AG4368" s="237"/>
      <c r="AH4368" s="237"/>
      <c r="AJ4368" s="238"/>
    </row>
    <row r="4369" spans="1:39" x14ac:dyDescent="0.25">
      <c r="AA4369" s="237"/>
      <c r="AB4369" s="237"/>
      <c r="AC4369" s="237"/>
      <c r="AD4369" s="237"/>
      <c r="AE4369" s="237"/>
      <c r="AF4369" s="237"/>
      <c r="AG4369" s="237"/>
      <c r="AH4369" s="237"/>
      <c r="AJ4369" s="238"/>
    </row>
    <row r="4370" spans="1:39" x14ac:dyDescent="0.25">
      <c r="AA4370" s="237"/>
      <c r="AB4370" s="237"/>
      <c r="AC4370" s="237"/>
      <c r="AD4370" s="237"/>
      <c r="AE4370" s="237"/>
      <c r="AF4370" s="237"/>
      <c r="AG4370" s="237"/>
      <c r="AH4370" s="237"/>
      <c r="AJ4370" s="238"/>
    </row>
    <row r="4371" spans="1:39" ht="12.75" x14ac:dyDescent="0.2">
      <c r="AL4371" s="226"/>
      <c r="AM4371" s="226"/>
    </row>
    <row r="4372" spans="1:39" ht="12.75" x14ac:dyDescent="0.2">
      <c r="A4372" s="236"/>
      <c r="B4372" s="236"/>
      <c r="C4372" s="236"/>
      <c r="D4372" s="236"/>
      <c r="E4372" s="237"/>
      <c r="G4372" s="237"/>
      <c r="H4372" s="237"/>
      <c r="I4372" s="237"/>
      <c r="K4372" s="237"/>
      <c r="N4372" s="237"/>
      <c r="O4372" s="237"/>
      <c r="P4372" s="237"/>
      <c r="Q4372" s="237"/>
      <c r="AL4372" s="226"/>
      <c r="AM4372" s="226"/>
    </row>
    <row r="4373" spans="1:39" x14ac:dyDescent="0.25">
      <c r="AA4373" s="237"/>
      <c r="AB4373" s="237"/>
      <c r="AC4373" s="237"/>
      <c r="AD4373" s="237"/>
      <c r="AE4373" s="237"/>
      <c r="AF4373" s="237"/>
      <c r="AG4373" s="237"/>
      <c r="AH4373" s="237"/>
      <c r="AJ4373" s="238"/>
    </row>
    <row r="4374" spans="1:39" x14ac:dyDescent="0.25">
      <c r="AA4374" s="237"/>
      <c r="AB4374" s="237"/>
      <c r="AC4374" s="237"/>
      <c r="AD4374" s="237"/>
      <c r="AE4374" s="237"/>
      <c r="AF4374" s="237"/>
      <c r="AG4374" s="237"/>
      <c r="AH4374" s="237"/>
      <c r="AJ4374" s="238"/>
    </row>
    <row r="4375" spans="1:39" ht="12.75" x14ac:dyDescent="0.2">
      <c r="AL4375" s="226"/>
      <c r="AM4375" s="226"/>
    </row>
    <row r="4376" spans="1:39" ht="12.75" x14ac:dyDescent="0.2">
      <c r="A4376" s="236"/>
      <c r="B4376" s="236"/>
      <c r="C4376" s="236"/>
      <c r="D4376" s="236"/>
      <c r="E4376" s="237"/>
      <c r="G4376" s="237"/>
      <c r="H4376" s="237"/>
      <c r="I4376" s="237"/>
      <c r="K4376" s="237"/>
      <c r="N4376" s="237"/>
      <c r="O4376" s="237"/>
      <c r="P4376" s="237"/>
      <c r="Q4376" s="237"/>
      <c r="AL4376" s="226"/>
      <c r="AM4376" s="226"/>
    </row>
    <row r="4377" spans="1:39" x14ac:dyDescent="0.25">
      <c r="AA4377" s="237"/>
      <c r="AB4377" s="237"/>
      <c r="AC4377" s="237"/>
      <c r="AD4377" s="237"/>
      <c r="AE4377" s="237"/>
      <c r="AF4377" s="237"/>
      <c r="AG4377" s="237"/>
      <c r="AH4377" s="237"/>
      <c r="AJ4377" s="238"/>
    </row>
    <row r="4378" spans="1:39" ht="12.75" x14ac:dyDescent="0.2">
      <c r="AL4378" s="226"/>
      <c r="AM4378" s="226"/>
    </row>
    <row r="4379" spans="1:39" ht="12.75" x14ac:dyDescent="0.2">
      <c r="A4379" s="236"/>
      <c r="B4379" s="236"/>
      <c r="C4379" s="236"/>
      <c r="D4379" s="236"/>
      <c r="E4379" s="237"/>
      <c r="G4379" s="237"/>
      <c r="H4379" s="237"/>
      <c r="I4379" s="237"/>
      <c r="K4379" s="237"/>
      <c r="N4379" s="237"/>
      <c r="O4379" s="237"/>
      <c r="P4379" s="237"/>
      <c r="Q4379" s="237"/>
      <c r="AL4379" s="226"/>
      <c r="AM4379" s="226"/>
    </row>
    <row r="4380" spans="1:39" x14ac:dyDescent="0.25">
      <c r="AA4380" s="237"/>
      <c r="AB4380" s="237"/>
      <c r="AC4380" s="237"/>
      <c r="AD4380" s="237"/>
      <c r="AE4380" s="237"/>
      <c r="AF4380" s="237"/>
      <c r="AG4380" s="237"/>
      <c r="AH4380" s="237"/>
      <c r="AJ4380" s="238"/>
    </row>
    <row r="4381" spans="1:39" ht="12.75" x14ac:dyDescent="0.2">
      <c r="AL4381" s="226"/>
      <c r="AM4381" s="226"/>
    </row>
    <row r="4382" spans="1:39" ht="12.75" x14ac:dyDescent="0.2">
      <c r="A4382" s="236"/>
      <c r="B4382" s="236"/>
      <c r="C4382" s="236"/>
      <c r="D4382" s="236"/>
      <c r="E4382" s="237"/>
      <c r="G4382" s="237"/>
      <c r="H4382" s="237"/>
      <c r="I4382" s="237"/>
      <c r="K4382" s="237"/>
      <c r="N4382" s="237"/>
      <c r="O4382" s="237"/>
      <c r="P4382" s="237"/>
      <c r="Q4382" s="237"/>
      <c r="AL4382" s="226"/>
      <c r="AM4382" s="226"/>
    </row>
    <row r="4383" spans="1:39" x14ac:dyDescent="0.25">
      <c r="AA4383" s="237"/>
      <c r="AB4383" s="237"/>
      <c r="AC4383" s="237"/>
      <c r="AD4383" s="237"/>
      <c r="AE4383" s="237"/>
      <c r="AF4383" s="237"/>
      <c r="AG4383" s="237"/>
      <c r="AH4383" s="237"/>
      <c r="AJ4383" s="238"/>
    </row>
    <row r="4384" spans="1:39" ht="12.75" x14ac:dyDescent="0.2">
      <c r="AL4384" s="226"/>
      <c r="AM4384" s="226"/>
    </row>
    <row r="4385" spans="1:39" ht="12.75" x14ac:dyDescent="0.2">
      <c r="A4385" s="236"/>
      <c r="B4385" s="236"/>
      <c r="C4385" s="236"/>
      <c r="D4385" s="236"/>
      <c r="E4385" s="237"/>
      <c r="G4385" s="237"/>
      <c r="H4385" s="237"/>
      <c r="I4385" s="237"/>
      <c r="K4385" s="237"/>
      <c r="N4385" s="237"/>
      <c r="O4385" s="237"/>
      <c r="P4385" s="237"/>
      <c r="Q4385" s="237"/>
      <c r="AL4385" s="226"/>
      <c r="AM4385" s="226"/>
    </row>
    <row r="4386" spans="1:39" x14ac:dyDescent="0.25">
      <c r="AA4386" s="237"/>
      <c r="AB4386" s="237"/>
      <c r="AC4386" s="237"/>
      <c r="AD4386" s="237"/>
      <c r="AE4386" s="237"/>
      <c r="AF4386" s="237"/>
      <c r="AG4386" s="237"/>
      <c r="AH4386" s="237"/>
      <c r="AJ4386" s="238"/>
    </row>
    <row r="4387" spans="1:39" x14ac:dyDescent="0.25">
      <c r="AA4387" s="237"/>
      <c r="AB4387" s="237"/>
      <c r="AC4387" s="237"/>
      <c r="AD4387" s="237"/>
      <c r="AE4387" s="237"/>
      <c r="AF4387" s="237"/>
      <c r="AG4387" s="237"/>
      <c r="AH4387" s="237"/>
      <c r="AJ4387" s="238"/>
    </row>
    <row r="4388" spans="1:39" x14ac:dyDescent="0.25">
      <c r="AA4388" s="237"/>
      <c r="AB4388" s="237"/>
      <c r="AC4388" s="237"/>
      <c r="AD4388" s="237"/>
      <c r="AE4388" s="237"/>
      <c r="AF4388" s="237"/>
      <c r="AG4388" s="237"/>
      <c r="AH4388" s="237"/>
      <c r="AJ4388" s="238"/>
    </row>
    <row r="4389" spans="1:39" ht="12.75" x14ac:dyDescent="0.2">
      <c r="AL4389" s="226"/>
      <c r="AM4389" s="226"/>
    </row>
    <row r="4390" spans="1:39" ht="12.75" x14ac:dyDescent="0.2">
      <c r="A4390" s="236"/>
      <c r="B4390" s="236"/>
      <c r="C4390" s="236"/>
      <c r="D4390" s="236"/>
      <c r="E4390" s="237"/>
      <c r="G4390" s="237"/>
      <c r="H4390" s="237"/>
      <c r="I4390" s="237"/>
      <c r="K4390" s="237"/>
      <c r="N4390" s="237"/>
      <c r="O4390" s="237"/>
      <c r="P4390" s="237"/>
      <c r="Q4390" s="237"/>
      <c r="AL4390" s="226"/>
      <c r="AM4390" s="226"/>
    </row>
    <row r="4391" spans="1:39" x14ac:dyDescent="0.25">
      <c r="AA4391" s="237"/>
      <c r="AB4391" s="237"/>
      <c r="AC4391" s="237"/>
      <c r="AD4391" s="237"/>
      <c r="AE4391" s="237"/>
      <c r="AF4391" s="237"/>
      <c r="AG4391" s="237"/>
      <c r="AH4391" s="237"/>
      <c r="AJ4391" s="238"/>
    </row>
    <row r="4392" spans="1:39" x14ac:dyDescent="0.25">
      <c r="AA4392" s="237"/>
      <c r="AB4392" s="237"/>
      <c r="AC4392" s="237"/>
      <c r="AD4392" s="237"/>
      <c r="AE4392" s="237"/>
      <c r="AF4392" s="237"/>
      <c r="AG4392" s="237"/>
      <c r="AH4392" s="237"/>
      <c r="AJ4392" s="238"/>
    </row>
    <row r="4393" spans="1:39" x14ac:dyDescent="0.25">
      <c r="AA4393" s="237"/>
      <c r="AB4393" s="237"/>
      <c r="AC4393" s="237"/>
      <c r="AD4393" s="237"/>
      <c r="AE4393" s="237"/>
      <c r="AF4393" s="237"/>
      <c r="AG4393" s="237"/>
      <c r="AH4393" s="237"/>
      <c r="AJ4393" s="238"/>
    </row>
    <row r="4394" spans="1:39" ht="12.75" x14ac:dyDescent="0.2">
      <c r="AL4394" s="226"/>
      <c r="AM4394" s="226"/>
    </row>
    <row r="4395" spans="1:39" ht="12.75" x14ac:dyDescent="0.2">
      <c r="A4395" s="236"/>
      <c r="B4395" s="236"/>
      <c r="C4395" s="236"/>
      <c r="D4395" s="236"/>
      <c r="E4395" s="237"/>
      <c r="G4395" s="237"/>
      <c r="H4395" s="237"/>
      <c r="I4395" s="237"/>
      <c r="K4395" s="237"/>
      <c r="N4395" s="237"/>
      <c r="O4395" s="237"/>
      <c r="P4395" s="237"/>
      <c r="Q4395" s="237"/>
      <c r="AL4395" s="226"/>
      <c r="AM4395" s="226"/>
    </row>
    <row r="4396" spans="1:39" x14ac:dyDescent="0.25">
      <c r="AA4396" s="237"/>
      <c r="AB4396" s="237"/>
      <c r="AC4396" s="237"/>
      <c r="AD4396" s="237"/>
      <c r="AE4396" s="237"/>
      <c r="AF4396" s="237"/>
      <c r="AG4396" s="237"/>
      <c r="AH4396" s="237"/>
      <c r="AJ4396" s="238"/>
    </row>
    <row r="4397" spans="1:39" x14ac:dyDescent="0.25">
      <c r="AA4397" s="237"/>
      <c r="AB4397" s="237"/>
      <c r="AC4397" s="237"/>
      <c r="AD4397" s="237"/>
      <c r="AE4397" s="237"/>
      <c r="AF4397" s="237"/>
      <c r="AG4397" s="237"/>
      <c r="AH4397" s="237"/>
      <c r="AJ4397" s="238"/>
    </row>
    <row r="4398" spans="1:39" x14ac:dyDescent="0.25">
      <c r="AA4398" s="237"/>
      <c r="AB4398" s="237"/>
      <c r="AC4398" s="237"/>
      <c r="AD4398" s="237"/>
      <c r="AE4398" s="237"/>
      <c r="AF4398" s="237"/>
      <c r="AG4398" s="237"/>
      <c r="AH4398" s="237"/>
      <c r="AJ4398" s="238"/>
    </row>
    <row r="4399" spans="1:39" x14ac:dyDescent="0.25">
      <c r="AA4399" s="237"/>
      <c r="AB4399" s="237"/>
      <c r="AC4399" s="237"/>
      <c r="AD4399" s="237"/>
      <c r="AE4399" s="237"/>
      <c r="AF4399" s="237"/>
      <c r="AG4399" s="237"/>
      <c r="AH4399" s="237"/>
      <c r="AJ4399" s="238"/>
    </row>
    <row r="4400" spans="1:39" x14ac:dyDescent="0.25">
      <c r="AA4400" s="237"/>
      <c r="AB4400" s="237"/>
      <c r="AC4400" s="237"/>
      <c r="AD4400" s="237"/>
      <c r="AE4400" s="237"/>
      <c r="AF4400" s="237"/>
      <c r="AG4400" s="237"/>
      <c r="AH4400" s="237"/>
      <c r="AJ4400" s="238"/>
    </row>
    <row r="4401" spans="1:39" x14ac:dyDescent="0.25">
      <c r="AA4401" s="237"/>
      <c r="AB4401" s="237"/>
      <c r="AC4401" s="237"/>
      <c r="AD4401" s="237"/>
      <c r="AE4401" s="237"/>
      <c r="AF4401" s="237"/>
      <c r="AG4401" s="237"/>
      <c r="AH4401" s="237"/>
      <c r="AJ4401" s="238"/>
    </row>
    <row r="4402" spans="1:39" x14ac:dyDescent="0.25">
      <c r="AA4402" s="237"/>
      <c r="AB4402" s="237"/>
      <c r="AC4402" s="237"/>
      <c r="AD4402" s="237"/>
      <c r="AE4402" s="237"/>
      <c r="AF4402" s="237"/>
      <c r="AG4402" s="237"/>
      <c r="AH4402" s="237"/>
      <c r="AJ4402" s="238"/>
    </row>
    <row r="4403" spans="1:39" x14ac:dyDescent="0.25">
      <c r="AA4403" s="237"/>
      <c r="AB4403" s="237"/>
      <c r="AC4403" s="237"/>
      <c r="AD4403" s="237"/>
      <c r="AE4403" s="237"/>
      <c r="AF4403" s="237"/>
      <c r="AG4403" s="237"/>
      <c r="AH4403" s="237"/>
      <c r="AJ4403" s="238"/>
    </row>
    <row r="4404" spans="1:39" x14ac:dyDescent="0.25">
      <c r="AA4404" s="237"/>
      <c r="AB4404" s="237"/>
      <c r="AC4404" s="237"/>
      <c r="AD4404" s="237"/>
      <c r="AE4404" s="237"/>
      <c r="AF4404" s="237"/>
      <c r="AG4404" s="237"/>
      <c r="AH4404" s="237"/>
      <c r="AJ4404" s="238"/>
    </row>
    <row r="4405" spans="1:39" x14ac:dyDescent="0.25">
      <c r="AA4405" s="237"/>
      <c r="AB4405" s="237"/>
      <c r="AC4405" s="237"/>
      <c r="AD4405" s="237"/>
      <c r="AE4405" s="237"/>
      <c r="AF4405" s="237"/>
      <c r="AG4405" s="237"/>
      <c r="AH4405" s="237"/>
      <c r="AJ4405" s="238"/>
    </row>
    <row r="4406" spans="1:39" x14ac:dyDescent="0.25">
      <c r="AA4406" s="237"/>
      <c r="AB4406" s="237"/>
      <c r="AC4406" s="237"/>
      <c r="AD4406" s="237"/>
      <c r="AE4406" s="237"/>
      <c r="AF4406" s="237"/>
      <c r="AG4406" s="237"/>
      <c r="AH4406" s="237"/>
      <c r="AJ4406" s="238"/>
    </row>
    <row r="4407" spans="1:39" x14ac:dyDescent="0.25">
      <c r="AA4407" s="237"/>
      <c r="AB4407" s="237"/>
      <c r="AC4407" s="237"/>
      <c r="AD4407" s="237"/>
      <c r="AE4407" s="237"/>
      <c r="AF4407" s="237"/>
      <c r="AG4407" s="237"/>
      <c r="AH4407" s="237"/>
      <c r="AJ4407" s="238"/>
    </row>
    <row r="4408" spans="1:39" x14ac:dyDescent="0.25">
      <c r="AA4408" s="237"/>
      <c r="AB4408" s="237"/>
      <c r="AC4408" s="237"/>
      <c r="AD4408" s="237"/>
      <c r="AE4408" s="237"/>
      <c r="AF4408" s="237"/>
      <c r="AG4408" s="237"/>
      <c r="AH4408" s="237"/>
      <c r="AJ4408" s="238"/>
    </row>
    <row r="4409" spans="1:39" x14ac:dyDescent="0.25">
      <c r="AA4409" s="237"/>
      <c r="AB4409" s="237"/>
      <c r="AC4409" s="237"/>
      <c r="AD4409" s="237"/>
      <c r="AE4409" s="237"/>
      <c r="AF4409" s="237"/>
      <c r="AG4409" s="237"/>
      <c r="AH4409" s="237"/>
      <c r="AJ4409" s="238"/>
    </row>
    <row r="4410" spans="1:39" x14ac:dyDescent="0.25">
      <c r="AA4410" s="237"/>
      <c r="AB4410" s="237"/>
      <c r="AC4410" s="237"/>
      <c r="AD4410" s="237"/>
      <c r="AE4410" s="237"/>
      <c r="AF4410" s="237"/>
      <c r="AG4410" s="237"/>
      <c r="AH4410" s="237"/>
      <c r="AJ4410" s="238"/>
    </row>
    <row r="4411" spans="1:39" x14ac:dyDescent="0.25">
      <c r="AA4411" s="237"/>
      <c r="AB4411" s="237"/>
      <c r="AC4411" s="237"/>
      <c r="AD4411" s="237"/>
      <c r="AE4411" s="237"/>
      <c r="AF4411" s="237"/>
      <c r="AG4411" s="237"/>
      <c r="AH4411" s="237"/>
      <c r="AJ4411" s="238"/>
    </row>
    <row r="4412" spans="1:39" x14ac:dyDescent="0.25">
      <c r="AA4412" s="237"/>
      <c r="AB4412" s="237"/>
      <c r="AC4412" s="237"/>
      <c r="AD4412" s="237"/>
      <c r="AE4412" s="237"/>
      <c r="AF4412" s="237"/>
      <c r="AG4412" s="237"/>
      <c r="AH4412" s="237"/>
      <c r="AJ4412" s="238"/>
    </row>
    <row r="4413" spans="1:39" ht="12.75" x14ac:dyDescent="0.2">
      <c r="AL4413" s="226"/>
      <c r="AM4413" s="226"/>
    </row>
    <row r="4414" spans="1:39" ht="12.75" x14ac:dyDescent="0.2">
      <c r="A4414" s="236"/>
      <c r="B4414" s="236"/>
      <c r="C4414" s="236"/>
      <c r="D4414" s="236"/>
      <c r="E4414" s="237"/>
      <c r="G4414" s="237"/>
      <c r="H4414" s="237"/>
      <c r="I4414" s="237"/>
      <c r="K4414" s="237"/>
      <c r="N4414" s="237"/>
      <c r="O4414" s="237"/>
      <c r="P4414" s="237"/>
      <c r="Q4414" s="237"/>
      <c r="AL4414" s="226"/>
      <c r="AM4414" s="226"/>
    </row>
    <row r="4415" spans="1:39" x14ac:dyDescent="0.25">
      <c r="AA4415" s="237"/>
      <c r="AB4415" s="237"/>
      <c r="AC4415" s="237"/>
      <c r="AD4415" s="237"/>
      <c r="AE4415" s="237"/>
      <c r="AF4415" s="237"/>
      <c r="AG4415" s="237"/>
      <c r="AH4415" s="237"/>
      <c r="AJ4415" s="238"/>
    </row>
    <row r="4416" spans="1:39" ht="12.75" x14ac:dyDescent="0.2">
      <c r="AL4416" s="226"/>
      <c r="AM4416" s="226"/>
    </row>
    <row r="4417" spans="1:39" ht="12.75" x14ac:dyDescent="0.2">
      <c r="A4417" s="236"/>
      <c r="B4417" s="236"/>
      <c r="C4417" s="236"/>
      <c r="D4417" s="236"/>
      <c r="E4417" s="237"/>
      <c r="G4417" s="237"/>
      <c r="H4417" s="237"/>
      <c r="I4417" s="237"/>
      <c r="K4417" s="237"/>
      <c r="N4417" s="237"/>
      <c r="O4417" s="237"/>
      <c r="P4417" s="237"/>
      <c r="Q4417" s="237"/>
      <c r="AL4417" s="226"/>
      <c r="AM4417" s="226"/>
    </row>
    <row r="4418" spans="1:39" x14ac:dyDescent="0.25">
      <c r="AA4418" s="237"/>
      <c r="AB4418" s="237"/>
      <c r="AC4418" s="237"/>
      <c r="AD4418" s="237"/>
      <c r="AE4418" s="237"/>
      <c r="AF4418" s="237"/>
      <c r="AG4418" s="237"/>
      <c r="AH4418" s="237"/>
      <c r="AJ4418" s="238"/>
    </row>
    <row r="4419" spans="1:39" x14ac:dyDescent="0.25">
      <c r="AA4419" s="237"/>
      <c r="AB4419" s="237"/>
      <c r="AC4419" s="237"/>
      <c r="AD4419" s="237"/>
      <c r="AE4419" s="237"/>
      <c r="AF4419" s="237"/>
      <c r="AG4419" s="237"/>
      <c r="AH4419" s="237"/>
      <c r="AJ4419" s="238"/>
    </row>
    <row r="4420" spans="1:39" x14ac:dyDescent="0.25">
      <c r="AA4420" s="237"/>
      <c r="AB4420" s="237"/>
      <c r="AC4420" s="237"/>
      <c r="AD4420" s="237"/>
      <c r="AE4420" s="237"/>
      <c r="AF4420" s="237"/>
      <c r="AG4420" s="237"/>
      <c r="AH4420" s="237"/>
      <c r="AJ4420" s="238"/>
    </row>
    <row r="4421" spans="1:39" ht="12.75" x14ac:dyDescent="0.2">
      <c r="AL4421" s="226"/>
      <c r="AM4421" s="226"/>
    </row>
    <row r="4422" spans="1:39" ht="12.75" x14ac:dyDescent="0.2">
      <c r="A4422" s="236"/>
      <c r="B4422" s="236"/>
      <c r="C4422" s="236"/>
      <c r="D4422" s="236"/>
      <c r="E4422" s="237"/>
      <c r="G4422" s="237"/>
      <c r="H4422" s="237"/>
      <c r="I4422" s="237"/>
      <c r="K4422" s="237"/>
      <c r="N4422" s="237"/>
      <c r="O4422" s="237"/>
      <c r="P4422" s="237"/>
      <c r="Q4422" s="237"/>
      <c r="AL4422" s="226"/>
      <c r="AM4422" s="226"/>
    </row>
    <row r="4423" spans="1:39" x14ac:dyDescent="0.25">
      <c r="AA4423" s="237"/>
      <c r="AB4423" s="237"/>
      <c r="AC4423" s="237"/>
      <c r="AD4423" s="237"/>
      <c r="AE4423" s="237"/>
      <c r="AF4423" s="237"/>
      <c r="AG4423" s="237"/>
      <c r="AH4423" s="237"/>
      <c r="AJ4423" s="238"/>
    </row>
    <row r="4424" spans="1:39" ht="12.75" x14ac:dyDescent="0.2">
      <c r="AL4424" s="226"/>
      <c r="AM4424" s="226"/>
    </row>
    <row r="4425" spans="1:39" ht="12.75" x14ac:dyDescent="0.2">
      <c r="A4425" s="236"/>
      <c r="B4425" s="236"/>
      <c r="C4425" s="236"/>
      <c r="D4425" s="236"/>
      <c r="E4425" s="237"/>
      <c r="G4425" s="237"/>
      <c r="H4425" s="237"/>
      <c r="I4425" s="237"/>
      <c r="K4425" s="237"/>
      <c r="N4425" s="237"/>
      <c r="O4425" s="237"/>
      <c r="P4425" s="237"/>
      <c r="Q4425" s="237"/>
      <c r="AL4425" s="226"/>
      <c r="AM4425" s="226"/>
    </row>
    <row r="4426" spans="1:39" x14ac:dyDescent="0.25">
      <c r="AA4426" s="237"/>
      <c r="AB4426" s="237"/>
      <c r="AC4426" s="237"/>
      <c r="AD4426" s="237"/>
      <c r="AE4426" s="237"/>
      <c r="AF4426" s="237"/>
      <c r="AG4426" s="237"/>
      <c r="AH4426" s="237"/>
      <c r="AJ4426" s="238"/>
    </row>
    <row r="4427" spans="1:39" x14ac:dyDescent="0.25">
      <c r="AA4427" s="237"/>
      <c r="AB4427" s="237"/>
      <c r="AC4427" s="237"/>
      <c r="AD4427" s="237"/>
      <c r="AE4427" s="237"/>
      <c r="AF4427" s="237"/>
      <c r="AG4427" s="237"/>
      <c r="AH4427" s="237"/>
      <c r="AJ4427" s="238"/>
    </row>
    <row r="4428" spans="1:39" x14ac:dyDescent="0.25">
      <c r="AA4428" s="237"/>
      <c r="AB4428" s="237"/>
      <c r="AC4428" s="237"/>
      <c r="AD4428" s="237"/>
      <c r="AE4428" s="237"/>
      <c r="AF4428" s="237"/>
      <c r="AG4428" s="237"/>
      <c r="AH4428" s="237"/>
      <c r="AJ4428" s="238"/>
    </row>
    <row r="4429" spans="1:39" x14ac:dyDescent="0.25">
      <c r="AA4429" s="237"/>
      <c r="AB4429" s="237"/>
      <c r="AC4429" s="237"/>
      <c r="AD4429" s="237"/>
      <c r="AE4429" s="237"/>
      <c r="AF4429" s="237"/>
      <c r="AG4429" s="237"/>
      <c r="AH4429" s="237"/>
      <c r="AJ4429" s="238"/>
    </row>
    <row r="4430" spans="1:39" x14ac:dyDescent="0.25">
      <c r="AA4430" s="237"/>
      <c r="AB4430" s="237"/>
      <c r="AC4430" s="237"/>
      <c r="AD4430" s="237"/>
      <c r="AE4430" s="237"/>
      <c r="AF4430" s="237"/>
      <c r="AG4430" s="237"/>
      <c r="AH4430" s="237"/>
      <c r="AJ4430" s="238"/>
    </row>
    <row r="4431" spans="1:39" ht="12.75" x14ac:dyDescent="0.2">
      <c r="AL4431" s="226"/>
      <c r="AM4431" s="226"/>
    </row>
    <row r="4432" spans="1:39" ht="12.75" x14ac:dyDescent="0.2">
      <c r="A4432" s="236"/>
      <c r="B4432" s="236"/>
      <c r="C4432" s="236"/>
      <c r="D4432" s="236"/>
      <c r="E4432" s="237"/>
      <c r="G4432" s="237"/>
      <c r="H4432" s="237"/>
      <c r="I4432" s="237"/>
      <c r="K4432" s="237"/>
      <c r="N4432" s="237"/>
      <c r="O4432" s="237"/>
      <c r="P4432" s="237"/>
      <c r="Q4432" s="237"/>
      <c r="AL4432" s="226"/>
      <c r="AM4432" s="226"/>
    </row>
    <row r="4433" spans="1:39" x14ac:dyDescent="0.25">
      <c r="AA4433" s="237"/>
      <c r="AB4433" s="237"/>
      <c r="AC4433" s="237"/>
      <c r="AD4433" s="237"/>
      <c r="AE4433" s="237"/>
      <c r="AF4433" s="237"/>
      <c r="AG4433" s="237"/>
      <c r="AH4433" s="237"/>
      <c r="AJ4433" s="238"/>
    </row>
    <row r="4434" spans="1:39" x14ac:dyDescent="0.25">
      <c r="AA4434" s="237"/>
      <c r="AB4434" s="237"/>
      <c r="AC4434" s="237"/>
      <c r="AD4434" s="237"/>
      <c r="AE4434" s="237"/>
      <c r="AF4434" s="237"/>
      <c r="AG4434" s="237"/>
      <c r="AH4434" s="237"/>
      <c r="AJ4434" s="238"/>
    </row>
    <row r="4435" spans="1:39" ht="12.75" x14ac:dyDescent="0.2">
      <c r="AL4435" s="226"/>
      <c r="AM4435" s="226"/>
    </row>
    <row r="4436" spans="1:39" ht="12.75" x14ac:dyDescent="0.2">
      <c r="A4436" s="236"/>
      <c r="B4436" s="236"/>
      <c r="C4436" s="236"/>
      <c r="D4436" s="236"/>
      <c r="E4436" s="237"/>
      <c r="G4436" s="237"/>
      <c r="H4436" s="237"/>
      <c r="I4436" s="237"/>
      <c r="K4436" s="237"/>
      <c r="N4436" s="237"/>
      <c r="O4436" s="237"/>
      <c r="P4436" s="237"/>
      <c r="Q4436" s="237"/>
      <c r="AL4436" s="226"/>
      <c r="AM4436" s="226"/>
    </row>
    <row r="4437" spans="1:39" x14ac:dyDescent="0.25">
      <c r="AA4437" s="237"/>
      <c r="AB4437" s="237"/>
      <c r="AC4437" s="237"/>
      <c r="AD4437" s="237"/>
      <c r="AE4437" s="237"/>
      <c r="AF4437" s="237"/>
      <c r="AG4437" s="237"/>
      <c r="AH4437" s="237"/>
      <c r="AJ4437" s="238"/>
    </row>
    <row r="4438" spans="1:39" x14ac:dyDescent="0.25">
      <c r="AA4438" s="237"/>
      <c r="AB4438" s="237"/>
      <c r="AC4438" s="237"/>
      <c r="AD4438" s="237"/>
      <c r="AE4438" s="237"/>
      <c r="AF4438" s="237"/>
      <c r="AG4438" s="237"/>
      <c r="AH4438" s="237"/>
      <c r="AJ4438" s="238"/>
    </row>
    <row r="4439" spans="1:39" ht="12.75" x14ac:dyDescent="0.2">
      <c r="AL4439" s="226"/>
      <c r="AM4439" s="226"/>
    </row>
    <row r="4440" spans="1:39" ht="12.75" x14ac:dyDescent="0.2">
      <c r="A4440" s="236"/>
      <c r="B4440" s="236"/>
      <c r="C4440" s="236"/>
      <c r="D4440" s="236"/>
      <c r="E4440" s="237"/>
      <c r="G4440" s="237"/>
      <c r="H4440" s="237"/>
      <c r="I4440" s="237"/>
      <c r="K4440" s="237"/>
      <c r="N4440" s="237"/>
      <c r="O4440" s="237"/>
      <c r="P4440" s="237"/>
      <c r="Q4440" s="237"/>
      <c r="AL4440" s="226"/>
      <c r="AM4440" s="226"/>
    </row>
    <row r="4441" spans="1:39" x14ac:dyDescent="0.25">
      <c r="AA4441" s="237"/>
      <c r="AB4441" s="237"/>
      <c r="AC4441" s="237"/>
      <c r="AD4441" s="237"/>
      <c r="AE4441" s="237"/>
      <c r="AF4441" s="237"/>
      <c r="AG4441" s="237"/>
      <c r="AH4441" s="237"/>
      <c r="AJ4441" s="238"/>
    </row>
    <row r="4442" spans="1:39" ht="12.75" x14ac:dyDescent="0.2">
      <c r="AL4442" s="226"/>
      <c r="AM4442" s="226"/>
    </row>
    <row r="4443" spans="1:39" ht="12.75" x14ac:dyDescent="0.2">
      <c r="A4443" s="236"/>
      <c r="B4443" s="236"/>
      <c r="C4443" s="236"/>
      <c r="D4443" s="236"/>
      <c r="E4443" s="237"/>
      <c r="G4443" s="237"/>
      <c r="H4443" s="237"/>
      <c r="I4443" s="237"/>
      <c r="K4443" s="237"/>
      <c r="N4443" s="237"/>
      <c r="O4443" s="237"/>
      <c r="P4443" s="237"/>
      <c r="Q4443" s="237"/>
      <c r="AL4443" s="226"/>
      <c r="AM4443" s="226"/>
    </row>
    <row r="4444" spans="1:39" x14ac:dyDescent="0.25">
      <c r="AA4444" s="237"/>
      <c r="AB4444" s="237"/>
      <c r="AC4444" s="237"/>
      <c r="AD4444" s="237"/>
      <c r="AE4444" s="237"/>
      <c r="AF4444" s="237"/>
      <c r="AG4444" s="237"/>
      <c r="AH4444" s="237"/>
      <c r="AJ4444" s="238"/>
    </row>
    <row r="4445" spans="1:39" x14ac:dyDescent="0.25">
      <c r="AA4445" s="237"/>
      <c r="AB4445" s="237"/>
      <c r="AC4445" s="237"/>
      <c r="AD4445" s="237"/>
      <c r="AE4445" s="237"/>
      <c r="AF4445" s="237"/>
      <c r="AG4445" s="237"/>
      <c r="AH4445" s="237"/>
      <c r="AJ4445" s="238"/>
    </row>
    <row r="4446" spans="1:39" x14ac:dyDescent="0.25">
      <c r="AA4446" s="237"/>
      <c r="AB4446" s="237"/>
      <c r="AC4446" s="237"/>
      <c r="AD4446" s="237"/>
      <c r="AE4446" s="237"/>
      <c r="AF4446" s="237"/>
      <c r="AG4446" s="237"/>
      <c r="AH4446" s="237"/>
      <c r="AJ4446" s="238"/>
    </row>
    <row r="4447" spans="1:39" x14ac:dyDescent="0.25">
      <c r="AA4447" s="237"/>
      <c r="AB4447" s="237"/>
      <c r="AC4447" s="237"/>
      <c r="AD4447" s="237"/>
      <c r="AE4447" s="237"/>
      <c r="AF4447" s="237"/>
      <c r="AG4447" s="237"/>
      <c r="AH4447" s="237"/>
      <c r="AJ4447" s="238"/>
    </row>
    <row r="4448" spans="1:39" ht="12.75" x14ac:dyDescent="0.2">
      <c r="AL4448" s="226"/>
      <c r="AM4448" s="226"/>
    </row>
    <row r="4449" spans="1:39" ht="12.75" x14ac:dyDescent="0.2">
      <c r="A4449" s="236"/>
      <c r="B4449" s="236"/>
      <c r="C4449" s="236"/>
      <c r="D4449" s="236"/>
      <c r="E4449" s="237"/>
      <c r="G4449" s="237"/>
      <c r="H4449" s="237"/>
      <c r="I4449" s="237"/>
      <c r="K4449" s="237"/>
      <c r="N4449" s="237"/>
      <c r="O4449" s="237"/>
      <c r="P4449" s="237"/>
      <c r="Q4449" s="237"/>
      <c r="AL4449" s="226"/>
      <c r="AM4449" s="226"/>
    </row>
    <row r="4450" spans="1:39" x14ac:dyDescent="0.25">
      <c r="AA4450" s="237"/>
      <c r="AB4450" s="237"/>
      <c r="AC4450" s="237"/>
      <c r="AD4450" s="237"/>
      <c r="AE4450" s="237"/>
      <c r="AF4450" s="237"/>
      <c r="AG4450" s="237"/>
      <c r="AH4450" s="237"/>
      <c r="AJ4450" s="238"/>
    </row>
    <row r="4451" spans="1:39" x14ac:dyDescent="0.25">
      <c r="AA4451" s="237"/>
      <c r="AB4451" s="237"/>
      <c r="AC4451" s="237"/>
      <c r="AD4451" s="237"/>
      <c r="AE4451" s="237"/>
      <c r="AF4451" s="237"/>
      <c r="AG4451" s="237"/>
      <c r="AH4451" s="237"/>
      <c r="AJ4451" s="238"/>
    </row>
    <row r="4452" spans="1:39" ht="12.75" x14ac:dyDescent="0.2">
      <c r="AL4452" s="226"/>
      <c r="AM4452" s="226"/>
    </row>
    <row r="4453" spans="1:39" ht="12.75" x14ac:dyDescent="0.2">
      <c r="A4453" s="236"/>
      <c r="B4453" s="236"/>
      <c r="C4453" s="236"/>
      <c r="D4453" s="236"/>
      <c r="E4453" s="237"/>
      <c r="G4453" s="237"/>
      <c r="H4453" s="237"/>
      <c r="I4453" s="237"/>
      <c r="K4453" s="237"/>
      <c r="N4453" s="237"/>
      <c r="O4453" s="237"/>
      <c r="P4453" s="237"/>
      <c r="Q4453" s="237"/>
      <c r="AL4453" s="226"/>
      <c r="AM4453" s="226"/>
    </row>
    <row r="4454" spans="1:39" x14ac:dyDescent="0.25">
      <c r="AA4454" s="237"/>
      <c r="AB4454" s="237"/>
      <c r="AC4454" s="237"/>
      <c r="AD4454" s="237"/>
      <c r="AE4454" s="237"/>
      <c r="AF4454" s="237"/>
      <c r="AG4454" s="237"/>
      <c r="AH4454" s="237"/>
      <c r="AJ4454" s="238"/>
    </row>
    <row r="4455" spans="1:39" x14ac:dyDescent="0.25">
      <c r="AA4455" s="237"/>
      <c r="AB4455" s="237"/>
      <c r="AC4455" s="237"/>
      <c r="AD4455" s="237"/>
      <c r="AE4455" s="237"/>
      <c r="AF4455" s="237"/>
      <c r="AG4455" s="237"/>
      <c r="AH4455" s="237"/>
      <c r="AJ4455" s="238"/>
    </row>
    <row r="4456" spans="1:39" x14ac:dyDescent="0.25">
      <c r="AA4456" s="237"/>
      <c r="AB4456" s="237"/>
      <c r="AC4456" s="237"/>
      <c r="AD4456" s="237"/>
      <c r="AE4456" s="237"/>
      <c r="AF4456" s="237"/>
      <c r="AG4456" s="237"/>
      <c r="AH4456" s="237"/>
      <c r="AJ4456" s="238"/>
    </row>
    <row r="4457" spans="1:39" x14ac:dyDescent="0.25">
      <c r="AA4457" s="237"/>
      <c r="AB4457" s="237"/>
      <c r="AC4457" s="237"/>
      <c r="AD4457" s="237"/>
      <c r="AE4457" s="237"/>
      <c r="AF4457" s="237"/>
      <c r="AG4457" s="237"/>
      <c r="AH4457" s="237"/>
      <c r="AJ4457" s="238"/>
    </row>
    <row r="4458" spans="1:39" x14ac:dyDescent="0.25">
      <c r="AA4458" s="237"/>
      <c r="AB4458" s="237"/>
      <c r="AC4458" s="237"/>
      <c r="AD4458" s="237"/>
      <c r="AE4458" s="237"/>
      <c r="AF4458" s="237"/>
      <c r="AG4458" s="237"/>
      <c r="AH4458" s="237"/>
      <c r="AJ4458" s="238"/>
    </row>
    <row r="4459" spans="1:39" x14ac:dyDescent="0.25">
      <c r="AA4459" s="237"/>
      <c r="AB4459" s="237"/>
      <c r="AC4459" s="237"/>
      <c r="AD4459" s="237"/>
      <c r="AE4459" s="237"/>
      <c r="AF4459" s="237"/>
      <c r="AG4459" s="237"/>
      <c r="AH4459" s="237"/>
      <c r="AJ4459" s="238"/>
    </row>
    <row r="4460" spans="1:39" ht="12.75" x14ac:dyDescent="0.2">
      <c r="AL4460" s="226"/>
      <c r="AM4460" s="226"/>
    </row>
    <row r="4461" spans="1:39" ht="12.75" x14ac:dyDescent="0.2">
      <c r="A4461" s="236"/>
      <c r="B4461" s="236"/>
      <c r="C4461" s="236"/>
      <c r="D4461" s="236"/>
      <c r="E4461" s="237"/>
      <c r="G4461" s="237"/>
      <c r="H4461" s="237"/>
      <c r="I4461" s="237"/>
      <c r="K4461" s="237"/>
      <c r="N4461" s="237"/>
      <c r="O4461" s="237"/>
      <c r="P4461" s="237"/>
      <c r="Q4461" s="237"/>
      <c r="AL4461" s="226"/>
      <c r="AM4461" s="226"/>
    </row>
    <row r="4462" spans="1:39" x14ac:dyDescent="0.25">
      <c r="AA4462" s="237"/>
      <c r="AB4462" s="237"/>
      <c r="AC4462" s="237"/>
      <c r="AD4462" s="237"/>
      <c r="AE4462" s="237"/>
      <c r="AF4462" s="237"/>
      <c r="AG4462" s="237"/>
      <c r="AH4462" s="237"/>
      <c r="AJ4462" s="238"/>
    </row>
    <row r="4463" spans="1:39" ht="12.75" x14ac:dyDescent="0.2">
      <c r="AL4463" s="226"/>
      <c r="AM4463" s="226"/>
    </row>
    <row r="4464" spans="1:39" ht="12.75" x14ac:dyDescent="0.2">
      <c r="A4464" s="236"/>
      <c r="B4464" s="236"/>
      <c r="C4464" s="236"/>
      <c r="D4464" s="236"/>
      <c r="E4464" s="237"/>
      <c r="G4464" s="237"/>
      <c r="H4464" s="237"/>
      <c r="I4464" s="237"/>
      <c r="K4464" s="237"/>
      <c r="N4464" s="237"/>
      <c r="O4464" s="237"/>
      <c r="P4464" s="237"/>
      <c r="Q4464" s="237"/>
      <c r="AL4464" s="226"/>
      <c r="AM4464" s="226"/>
    </row>
    <row r="4465" spans="1:39" x14ac:dyDescent="0.25">
      <c r="AA4465" s="237"/>
      <c r="AB4465" s="237"/>
      <c r="AC4465" s="237"/>
      <c r="AD4465" s="237"/>
      <c r="AE4465" s="237"/>
      <c r="AF4465" s="237"/>
      <c r="AG4465" s="237"/>
      <c r="AH4465" s="237"/>
      <c r="AJ4465" s="238"/>
    </row>
    <row r="4466" spans="1:39" x14ac:dyDescent="0.25">
      <c r="AA4466" s="237"/>
      <c r="AB4466" s="237"/>
      <c r="AC4466" s="237"/>
      <c r="AD4466" s="237"/>
      <c r="AE4466" s="237"/>
      <c r="AF4466" s="237"/>
      <c r="AG4466" s="237"/>
      <c r="AH4466" s="237"/>
      <c r="AJ4466" s="238"/>
    </row>
    <row r="4467" spans="1:39" x14ac:dyDescent="0.25">
      <c r="AA4467" s="237"/>
      <c r="AB4467" s="237"/>
      <c r="AC4467" s="237"/>
      <c r="AD4467" s="237"/>
      <c r="AE4467" s="237"/>
      <c r="AF4467" s="237"/>
      <c r="AG4467" s="237"/>
      <c r="AH4467" s="237"/>
      <c r="AJ4467" s="238"/>
    </row>
    <row r="4468" spans="1:39" x14ac:dyDescent="0.25">
      <c r="AA4468" s="237"/>
      <c r="AB4468" s="237"/>
      <c r="AC4468" s="237"/>
      <c r="AD4468" s="237"/>
      <c r="AE4468" s="237"/>
      <c r="AF4468" s="237"/>
      <c r="AG4468" s="237"/>
      <c r="AH4468" s="237"/>
      <c r="AJ4468" s="238"/>
    </row>
    <row r="4469" spans="1:39" x14ac:dyDescent="0.25">
      <c r="AA4469" s="237"/>
      <c r="AB4469" s="237"/>
      <c r="AC4469" s="237"/>
      <c r="AD4469" s="237"/>
      <c r="AE4469" s="237"/>
      <c r="AF4469" s="237"/>
      <c r="AG4469" s="237"/>
      <c r="AH4469" s="237"/>
      <c r="AJ4469" s="238"/>
    </row>
    <row r="4470" spans="1:39" x14ac:dyDescent="0.25">
      <c r="AA4470" s="237"/>
      <c r="AB4470" s="237"/>
      <c r="AC4470" s="237"/>
      <c r="AD4470" s="237"/>
      <c r="AE4470" s="237"/>
      <c r="AF4470" s="237"/>
      <c r="AG4470" s="237"/>
      <c r="AH4470" s="237"/>
      <c r="AJ4470" s="238"/>
    </row>
    <row r="4471" spans="1:39" ht="12.75" x14ac:dyDescent="0.2">
      <c r="AL4471" s="226"/>
      <c r="AM4471" s="226"/>
    </row>
    <row r="4472" spans="1:39" ht="12.75" x14ac:dyDescent="0.2">
      <c r="A4472" s="236"/>
      <c r="B4472" s="236"/>
      <c r="C4472" s="236"/>
      <c r="D4472" s="236"/>
      <c r="E4472" s="237"/>
      <c r="G4472" s="237"/>
      <c r="H4472" s="237"/>
      <c r="I4472" s="237"/>
      <c r="K4472" s="237"/>
      <c r="N4472" s="237"/>
      <c r="O4472" s="237"/>
      <c r="P4472" s="237"/>
      <c r="Q4472" s="237"/>
      <c r="AL4472" s="226"/>
      <c r="AM4472" s="226"/>
    </row>
    <row r="4473" spans="1:39" x14ac:dyDescent="0.25">
      <c r="AA4473" s="237"/>
      <c r="AB4473" s="237"/>
      <c r="AC4473" s="237"/>
      <c r="AD4473" s="237"/>
      <c r="AE4473" s="237"/>
      <c r="AF4473" s="237"/>
      <c r="AG4473" s="237"/>
      <c r="AH4473" s="237"/>
      <c r="AJ4473" s="238"/>
    </row>
    <row r="4474" spans="1:39" ht="12.75" x14ac:dyDescent="0.2">
      <c r="AL4474" s="226"/>
      <c r="AM4474" s="226"/>
    </row>
    <row r="4475" spans="1:39" ht="12.75" x14ac:dyDescent="0.2">
      <c r="A4475" s="236"/>
      <c r="B4475" s="236"/>
      <c r="C4475" s="236"/>
      <c r="D4475" s="236"/>
      <c r="E4475" s="237"/>
      <c r="G4475" s="237"/>
      <c r="H4475" s="237"/>
      <c r="I4475" s="237"/>
      <c r="K4475" s="237"/>
      <c r="N4475" s="237"/>
      <c r="O4475" s="237"/>
      <c r="P4475" s="237"/>
      <c r="Q4475" s="237"/>
      <c r="AL4475" s="226"/>
      <c r="AM4475" s="226"/>
    </row>
    <row r="4476" spans="1:39" x14ac:dyDescent="0.25">
      <c r="AA4476" s="237"/>
      <c r="AB4476" s="237"/>
      <c r="AC4476" s="237"/>
      <c r="AD4476" s="237"/>
      <c r="AE4476" s="237"/>
      <c r="AF4476" s="237"/>
      <c r="AG4476" s="237"/>
      <c r="AH4476" s="237"/>
      <c r="AJ4476" s="238"/>
    </row>
    <row r="4477" spans="1:39" x14ac:dyDescent="0.25">
      <c r="AA4477" s="237"/>
      <c r="AB4477" s="237"/>
      <c r="AC4477" s="237"/>
      <c r="AD4477" s="237"/>
      <c r="AE4477" s="237"/>
      <c r="AF4477" s="237"/>
      <c r="AG4477" s="237"/>
      <c r="AH4477" s="237"/>
      <c r="AJ4477" s="238"/>
    </row>
    <row r="4478" spans="1:39" x14ac:dyDescent="0.25">
      <c r="AA4478" s="237"/>
      <c r="AB4478" s="237"/>
      <c r="AC4478" s="237"/>
      <c r="AD4478" s="237"/>
      <c r="AE4478" s="237"/>
      <c r="AF4478" s="237"/>
      <c r="AG4478" s="237"/>
      <c r="AH4478" s="237"/>
      <c r="AJ4478" s="238"/>
    </row>
    <row r="4479" spans="1:39" x14ac:dyDescent="0.25">
      <c r="AA4479" s="237"/>
      <c r="AB4479" s="237"/>
      <c r="AC4479" s="237"/>
      <c r="AD4479" s="237"/>
      <c r="AE4479" s="237"/>
      <c r="AF4479" s="237"/>
      <c r="AG4479" s="237"/>
      <c r="AH4479" s="237"/>
      <c r="AJ4479" s="238"/>
    </row>
    <row r="4480" spans="1:39" x14ac:dyDescent="0.25">
      <c r="AA4480" s="237"/>
      <c r="AB4480" s="237"/>
      <c r="AC4480" s="237"/>
      <c r="AD4480" s="237"/>
      <c r="AE4480" s="237"/>
      <c r="AF4480" s="237"/>
      <c r="AG4480" s="237"/>
      <c r="AH4480" s="237"/>
      <c r="AJ4480" s="238"/>
    </row>
    <row r="4481" spans="1:39" x14ac:dyDescent="0.25">
      <c r="AA4481" s="237"/>
      <c r="AB4481" s="237"/>
      <c r="AC4481" s="237"/>
      <c r="AD4481" s="237"/>
      <c r="AE4481" s="237"/>
      <c r="AF4481" s="237"/>
      <c r="AG4481" s="237"/>
      <c r="AH4481" s="237"/>
      <c r="AJ4481" s="238"/>
    </row>
    <row r="4482" spans="1:39" x14ac:dyDescent="0.25">
      <c r="AA4482" s="237"/>
      <c r="AB4482" s="237"/>
      <c r="AC4482" s="237"/>
      <c r="AD4482" s="237"/>
      <c r="AE4482" s="237"/>
      <c r="AF4482" s="237"/>
      <c r="AG4482" s="237"/>
      <c r="AH4482" s="237"/>
      <c r="AJ4482" s="238"/>
    </row>
    <row r="4483" spans="1:39" ht="12.75" x14ac:dyDescent="0.2">
      <c r="AL4483" s="226"/>
      <c r="AM4483" s="226"/>
    </row>
    <row r="4484" spans="1:39" ht="12.75" x14ac:dyDescent="0.2">
      <c r="A4484" s="236"/>
      <c r="B4484" s="236"/>
      <c r="C4484" s="236"/>
      <c r="D4484" s="236"/>
      <c r="E4484" s="237"/>
      <c r="G4484" s="237"/>
      <c r="H4484" s="237"/>
      <c r="I4484" s="237"/>
      <c r="K4484" s="237"/>
      <c r="N4484" s="237"/>
      <c r="O4484" s="237"/>
      <c r="P4484" s="237"/>
      <c r="Q4484" s="237"/>
      <c r="AL4484" s="226"/>
      <c r="AM4484" s="226"/>
    </row>
    <row r="4485" spans="1:39" x14ac:dyDescent="0.25">
      <c r="AA4485" s="237"/>
      <c r="AB4485" s="237"/>
      <c r="AC4485" s="237"/>
      <c r="AD4485" s="237"/>
      <c r="AE4485" s="237"/>
      <c r="AF4485" s="237"/>
      <c r="AG4485" s="237"/>
      <c r="AH4485" s="237"/>
      <c r="AJ4485" s="238"/>
    </row>
    <row r="4486" spans="1:39" x14ac:dyDescent="0.25">
      <c r="AA4486" s="237"/>
      <c r="AB4486" s="237"/>
      <c r="AC4486" s="237"/>
      <c r="AD4486" s="237"/>
      <c r="AE4486" s="237"/>
      <c r="AF4486" s="237"/>
      <c r="AG4486" s="237"/>
      <c r="AH4486" s="237"/>
      <c r="AJ4486" s="238"/>
    </row>
    <row r="4487" spans="1:39" x14ac:dyDescent="0.25">
      <c r="AA4487" s="237"/>
      <c r="AB4487" s="237"/>
      <c r="AC4487" s="237"/>
      <c r="AD4487" s="237"/>
      <c r="AE4487" s="237"/>
      <c r="AF4487" s="237"/>
      <c r="AG4487" s="237"/>
      <c r="AH4487" s="237"/>
      <c r="AJ4487" s="238"/>
    </row>
    <row r="4488" spans="1:39" x14ac:dyDescent="0.25">
      <c r="AA4488" s="237"/>
      <c r="AB4488" s="237"/>
      <c r="AC4488" s="237"/>
      <c r="AD4488" s="237"/>
      <c r="AE4488" s="237"/>
      <c r="AF4488" s="237"/>
      <c r="AG4488" s="237"/>
      <c r="AH4488" s="237"/>
      <c r="AJ4488" s="238"/>
    </row>
    <row r="4489" spans="1:39" x14ac:dyDescent="0.25">
      <c r="AA4489" s="237"/>
      <c r="AB4489" s="237"/>
      <c r="AC4489" s="237"/>
      <c r="AD4489" s="237"/>
      <c r="AE4489" s="237"/>
      <c r="AF4489" s="237"/>
      <c r="AG4489" s="237"/>
      <c r="AH4489" s="237"/>
      <c r="AJ4489" s="238"/>
    </row>
    <row r="4490" spans="1:39" x14ac:dyDescent="0.25">
      <c r="AA4490" s="237"/>
      <c r="AB4490" s="237"/>
      <c r="AC4490" s="237"/>
      <c r="AD4490" s="237"/>
      <c r="AE4490" s="237"/>
      <c r="AF4490" s="237"/>
      <c r="AG4490" s="237"/>
      <c r="AH4490" s="237"/>
      <c r="AJ4490" s="238"/>
    </row>
    <row r="4491" spans="1:39" x14ac:dyDescent="0.25">
      <c r="AA4491" s="237"/>
      <c r="AB4491" s="237"/>
      <c r="AC4491" s="237"/>
      <c r="AD4491" s="237"/>
      <c r="AE4491" s="237"/>
      <c r="AF4491" s="237"/>
      <c r="AG4491" s="237"/>
      <c r="AH4491" s="237"/>
      <c r="AJ4491" s="238"/>
    </row>
    <row r="4492" spans="1:39" x14ac:dyDescent="0.25">
      <c r="AA4492" s="237"/>
      <c r="AB4492" s="237"/>
      <c r="AC4492" s="237"/>
      <c r="AD4492" s="237"/>
      <c r="AE4492" s="237"/>
      <c r="AF4492" s="237"/>
      <c r="AG4492" s="237"/>
      <c r="AH4492" s="237"/>
      <c r="AJ4492" s="238"/>
    </row>
    <row r="4493" spans="1:39" ht="12.75" x14ac:dyDescent="0.2">
      <c r="AL4493" s="226"/>
      <c r="AM4493" s="226"/>
    </row>
    <row r="4494" spans="1:39" ht="12.75" x14ac:dyDescent="0.2">
      <c r="A4494" s="236"/>
      <c r="B4494" s="236"/>
      <c r="C4494" s="236"/>
      <c r="D4494" s="236"/>
      <c r="E4494" s="237"/>
      <c r="G4494" s="237"/>
      <c r="H4494" s="237"/>
      <c r="I4494" s="237"/>
      <c r="K4494" s="237"/>
      <c r="N4494" s="237"/>
      <c r="O4494" s="237"/>
      <c r="P4494" s="237"/>
      <c r="Q4494" s="237"/>
      <c r="AL4494" s="226"/>
      <c r="AM4494" s="226"/>
    </row>
    <row r="4495" spans="1:39" x14ac:dyDescent="0.25">
      <c r="AA4495" s="237"/>
      <c r="AB4495" s="237"/>
      <c r="AC4495" s="237"/>
      <c r="AD4495" s="237"/>
      <c r="AE4495" s="237"/>
      <c r="AF4495" s="237"/>
      <c r="AG4495" s="237"/>
      <c r="AH4495" s="237"/>
      <c r="AJ4495" s="238"/>
    </row>
    <row r="4496" spans="1:39" ht="12.75" x14ac:dyDescent="0.2">
      <c r="AL4496" s="226"/>
      <c r="AM4496" s="226"/>
    </row>
    <row r="4497" spans="1:39" ht="12.75" x14ac:dyDescent="0.2">
      <c r="A4497" s="236"/>
      <c r="B4497" s="236"/>
      <c r="C4497" s="236"/>
      <c r="D4497" s="236"/>
      <c r="E4497" s="237"/>
      <c r="G4497" s="237"/>
      <c r="H4497" s="237"/>
      <c r="I4497" s="237"/>
      <c r="K4497" s="237"/>
      <c r="N4497" s="237"/>
      <c r="O4497" s="237"/>
      <c r="P4497" s="237"/>
      <c r="Q4497" s="237"/>
      <c r="AL4497" s="226"/>
      <c r="AM4497" s="226"/>
    </row>
    <row r="4498" spans="1:39" x14ac:dyDescent="0.25">
      <c r="AA4498" s="237"/>
      <c r="AB4498" s="237"/>
      <c r="AC4498" s="237"/>
      <c r="AD4498" s="237"/>
      <c r="AE4498" s="237"/>
      <c r="AF4498" s="237"/>
      <c r="AG4498" s="237"/>
      <c r="AH4498" s="237"/>
      <c r="AJ4498" s="238"/>
    </row>
    <row r="4499" spans="1:39" ht="12.75" x14ac:dyDescent="0.2">
      <c r="AL4499" s="226"/>
      <c r="AM4499" s="226"/>
    </row>
    <row r="4500" spans="1:39" ht="12.75" x14ac:dyDescent="0.2">
      <c r="A4500" s="236"/>
      <c r="B4500" s="236"/>
      <c r="C4500" s="236"/>
      <c r="D4500" s="236"/>
      <c r="E4500" s="237"/>
      <c r="G4500" s="237"/>
      <c r="H4500" s="237"/>
      <c r="I4500" s="237"/>
      <c r="K4500" s="237"/>
      <c r="N4500" s="237"/>
      <c r="O4500" s="237"/>
      <c r="P4500" s="237"/>
      <c r="Q4500" s="237"/>
      <c r="AL4500" s="226"/>
      <c r="AM4500" s="226"/>
    </row>
    <row r="4501" spans="1:39" x14ac:dyDescent="0.25">
      <c r="AA4501" s="237"/>
      <c r="AB4501" s="237"/>
      <c r="AC4501" s="237"/>
      <c r="AD4501" s="237"/>
      <c r="AE4501" s="237"/>
      <c r="AF4501" s="237"/>
      <c r="AG4501" s="237"/>
      <c r="AH4501" s="237"/>
      <c r="AJ4501" s="238"/>
    </row>
    <row r="4502" spans="1:39" x14ac:dyDescent="0.25">
      <c r="AA4502" s="237"/>
      <c r="AB4502" s="237"/>
      <c r="AC4502" s="237"/>
      <c r="AD4502" s="237"/>
      <c r="AE4502" s="237"/>
      <c r="AF4502" s="237"/>
      <c r="AG4502" s="237"/>
      <c r="AH4502" s="237"/>
      <c r="AJ4502" s="238"/>
    </row>
    <row r="4503" spans="1:39" x14ac:dyDescent="0.25">
      <c r="AA4503" s="237"/>
      <c r="AB4503" s="237"/>
      <c r="AC4503" s="237"/>
      <c r="AD4503" s="237"/>
      <c r="AE4503" s="237"/>
      <c r="AF4503" s="237"/>
      <c r="AG4503" s="237"/>
      <c r="AH4503" s="237"/>
      <c r="AJ4503" s="238"/>
    </row>
    <row r="4504" spans="1:39" ht="12.75" x14ac:dyDescent="0.2">
      <c r="AL4504" s="226"/>
      <c r="AM4504" s="226"/>
    </row>
    <row r="4505" spans="1:39" ht="12.75" x14ac:dyDescent="0.2">
      <c r="A4505" s="236"/>
      <c r="B4505" s="236"/>
      <c r="C4505" s="236"/>
      <c r="D4505" s="236"/>
      <c r="E4505" s="237"/>
      <c r="G4505" s="237"/>
      <c r="H4505" s="237"/>
      <c r="I4505" s="237"/>
      <c r="K4505" s="237"/>
      <c r="N4505" s="237"/>
      <c r="O4505" s="237"/>
      <c r="P4505" s="237"/>
      <c r="Q4505" s="237"/>
      <c r="AL4505" s="226"/>
      <c r="AM4505" s="226"/>
    </row>
    <row r="4506" spans="1:39" x14ac:dyDescent="0.25">
      <c r="AA4506" s="237"/>
      <c r="AB4506" s="237"/>
      <c r="AC4506" s="237"/>
      <c r="AD4506" s="237"/>
      <c r="AE4506" s="237"/>
      <c r="AF4506" s="237"/>
      <c r="AG4506" s="237"/>
      <c r="AH4506" s="237"/>
      <c r="AJ4506" s="238"/>
    </row>
    <row r="4507" spans="1:39" x14ac:dyDescent="0.25">
      <c r="AA4507" s="237"/>
      <c r="AB4507" s="237"/>
      <c r="AC4507" s="237"/>
      <c r="AD4507" s="237"/>
      <c r="AE4507" s="237"/>
      <c r="AF4507" s="237"/>
      <c r="AG4507" s="237"/>
      <c r="AH4507" s="237"/>
      <c r="AJ4507" s="238"/>
    </row>
    <row r="4508" spans="1:39" x14ac:dyDescent="0.25">
      <c r="AA4508" s="237"/>
      <c r="AB4508" s="237"/>
      <c r="AC4508" s="237"/>
      <c r="AD4508" s="237"/>
      <c r="AE4508" s="237"/>
      <c r="AF4508" s="237"/>
      <c r="AG4508" s="237"/>
      <c r="AH4508" s="237"/>
      <c r="AJ4508" s="238"/>
    </row>
    <row r="4509" spans="1:39" x14ac:dyDescent="0.25">
      <c r="AA4509" s="237"/>
      <c r="AB4509" s="237"/>
      <c r="AC4509" s="237"/>
      <c r="AD4509" s="237"/>
      <c r="AE4509" s="237"/>
      <c r="AF4509" s="237"/>
      <c r="AG4509" s="237"/>
      <c r="AH4509" s="237"/>
      <c r="AJ4509" s="238"/>
    </row>
    <row r="4510" spans="1:39" x14ac:dyDescent="0.25">
      <c r="AA4510" s="237"/>
      <c r="AB4510" s="237"/>
      <c r="AC4510" s="237"/>
      <c r="AD4510" s="237"/>
      <c r="AE4510" s="237"/>
      <c r="AF4510" s="237"/>
      <c r="AG4510" s="237"/>
      <c r="AH4510" s="237"/>
      <c r="AJ4510" s="238"/>
    </row>
    <row r="4511" spans="1:39" ht="12.75" x14ac:dyDescent="0.2">
      <c r="AL4511" s="226"/>
      <c r="AM4511" s="226"/>
    </row>
    <row r="4512" spans="1:39" ht="12.75" x14ac:dyDescent="0.2">
      <c r="A4512" s="236"/>
      <c r="B4512" s="236"/>
      <c r="C4512" s="236"/>
      <c r="D4512" s="236"/>
      <c r="E4512" s="237"/>
      <c r="G4512" s="237"/>
      <c r="H4512" s="237"/>
      <c r="I4512" s="237"/>
      <c r="K4512" s="237"/>
      <c r="N4512" s="237"/>
      <c r="O4512" s="237"/>
      <c r="P4512" s="237"/>
      <c r="Q4512" s="237"/>
      <c r="AL4512" s="226"/>
      <c r="AM4512" s="226"/>
    </row>
    <row r="4513" spans="1:39" x14ac:dyDescent="0.25">
      <c r="AA4513" s="237"/>
      <c r="AB4513" s="237"/>
      <c r="AC4513" s="237"/>
      <c r="AD4513" s="237"/>
      <c r="AE4513" s="237"/>
      <c r="AF4513" s="237"/>
      <c r="AG4513" s="237"/>
      <c r="AH4513" s="237"/>
      <c r="AJ4513" s="238"/>
    </row>
    <row r="4514" spans="1:39" x14ac:dyDescent="0.25">
      <c r="AA4514" s="237"/>
      <c r="AB4514" s="237"/>
      <c r="AC4514" s="237"/>
      <c r="AD4514" s="237"/>
      <c r="AE4514" s="237"/>
      <c r="AF4514" s="237"/>
      <c r="AG4514" s="237"/>
      <c r="AH4514" s="237"/>
      <c r="AJ4514" s="238"/>
    </row>
    <row r="4515" spans="1:39" ht="12.75" x14ac:dyDescent="0.2">
      <c r="AL4515" s="226"/>
      <c r="AM4515" s="226"/>
    </row>
    <row r="4516" spans="1:39" ht="12.75" x14ac:dyDescent="0.2">
      <c r="A4516" s="236"/>
      <c r="B4516" s="236"/>
      <c r="C4516" s="236"/>
      <c r="D4516" s="236"/>
      <c r="E4516" s="237"/>
      <c r="G4516" s="237"/>
      <c r="H4516" s="237"/>
      <c r="I4516" s="237"/>
      <c r="K4516" s="237"/>
      <c r="N4516" s="237"/>
      <c r="O4516" s="237"/>
      <c r="P4516" s="237"/>
      <c r="Q4516" s="237"/>
      <c r="AL4516" s="226"/>
      <c r="AM4516" s="226"/>
    </row>
    <row r="4517" spans="1:39" x14ac:dyDescent="0.25">
      <c r="AA4517" s="237"/>
      <c r="AB4517" s="237"/>
      <c r="AC4517" s="237"/>
      <c r="AD4517" s="237"/>
      <c r="AE4517" s="237"/>
      <c r="AF4517" s="237"/>
      <c r="AG4517" s="237"/>
      <c r="AH4517" s="237"/>
      <c r="AJ4517" s="238"/>
    </row>
    <row r="4518" spans="1:39" ht="12.75" x14ac:dyDescent="0.2">
      <c r="AL4518" s="226"/>
      <c r="AM4518" s="226"/>
    </row>
    <row r="4519" spans="1:39" ht="12.75" x14ac:dyDescent="0.2">
      <c r="A4519" s="236"/>
      <c r="B4519" s="236"/>
      <c r="C4519" s="236"/>
      <c r="D4519" s="236"/>
      <c r="E4519" s="237"/>
      <c r="G4519" s="237"/>
      <c r="H4519" s="237"/>
      <c r="I4519" s="237"/>
      <c r="K4519" s="237"/>
      <c r="N4519" s="237"/>
      <c r="O4519" s="237"/>
      <c r="P4519" s="237"/>
      <c r="Q4519" s="237"/>
      <c r="AL4519" s="226"/>
      <c r="AM4519" s="226"/>
    </row>
    <row r="4520" spans="1:39" x14ac:dyDescent="0.25">
      <c r="AA4520" s="237"/>
      <c r="AB4520" s="237"/>
      <c r="AC4520" s="237"/>
      <c r="AD4520" s="237"/>
      <c r="AE4520" s="237"/>
      <c r="AF4520" s="237"/>
      <c r="AG4520" s="237"/>
      <c r="AH4520" s="237"/>
      <c r="AJ4520" s="238"/>
    </row>
    <row r="4521" spans="1:39" x14ac:dyDescent="0.25">
      <c r="AA4521" s="237"/>
      <c r="AB4521" s="237"/>
      <c r="AC4521" s="237"/>
      <c r="AD4521" s="237"/>
      <c r="AE4521" s="237"/>
      <c r="AF4521" s="237"/>
      <c r="AG4521" s="237"/>
      <c r="AH4521" s="237"/>
      <c r="AJ4521" s="238"/>
    </row>
    <row r="4522" spans="1:39" x14ac:dyDescent="0.25">
      <c r="AA4522" s="237"/>
      <c r="AB4522" s="237"/>
      <c r="AC4522" s="237"/>
      <c r="AD4522" s="237"/>
      <c r="AE4522" s="237"/>
      <c r="AF4522" s="237"/>
      <c r="AG4522" s="237"/>
      <c r="AH4522" s="237"/>
      <c r="AJ4522" s="238"/>
    </row>
    <row r="4523" spans="1:39" x14ac:dyDescent="0.25">
      <c r="AA4523" s="237"/>
      <c r="AB4523" s="237"/>
      <c r="AC4523" s="237"/>
      <c r="AD4523" s="237"/>
      <c r="AE4523" s="237"/>
      <c r="AF4523" s="237"/>
      <c r="AG4523" s="237"/>
      <c r="AH4523" s="237"/>
      <c r="AJ4523" s="238"/>
    </row>
    <row r="4524" spans="1:39" x14ac:dyDescent="0.25">
      <c r="AA4524" s="237"/>
      <c r="AB4524" s="237"/>
      <c r="AC4524" s="237"/>
      <c r="AD4524" s="237"/>
      <c r="AE4524" s="237"/>
      <c r="AF4524" s="237"/>
      <c r="AG4524" s="237"/>
      <c r="AH4524" s="237"/>
      <c r="AJ4524" s="238"/>
    </row>
    <row r="4525" spans="1:39" ht="12.75" x14ac:dyDescent="0.2">
      <c r="AL4525" s="226"/>
      <c r="AM4525" s="226"/>
    </row>
    <row r="4526" spans="1:39" ht="12.75" x14ac:dyDescent="0.2">
      <c r="A4526" s="236"/>
      <c r="B4526" s="236"/>
      <c r="C4526" s="236"/>
      <c r="D4526" s="236"/>
      <c r="E4526" s="237"/>
      <c r="G4526" s="237"/>
      <c r="H4526" s="237"/>
      <c r="I4526" s="237"/>
      <c r="K4526" s="237"/>
      <c r="N4526" s="237"/>
      <c r="O4526" s="237"/>
      <c r="P4526" s="237"/>
      <c r="Q4526" s="237"/>
      <c r="AL4526" s="226"/>
      <c r="AM4526" s="226"/>
    </row>
    <row r="4527" spans="1:39" x14ac:dyDescent="0.25">
      <c r="AA4527" s="237"/>
      <c r="AB4527" s="237"/>
      <c r="AC4527" s="237"/>
      <c r="AD4527" s="237"/>
      <c r="AE4527" s="237"/>
      <c r="AF4527" s="237"/>
      <c r="AG4527" s="237"/>
      <c r="AH4527" s="237"/>
      <c r="AJ4527" s="238"/>
    </row>
    <row r="4528" spans="1:39" ht="12.75" x14ac:dyDescent="0.2">
      <c r="AL4528" s="226"/>
      <c r="AM4528" s="226"/>
    </row>
    <row r="4529" spans="1:39" ht="12.75" x14ac:dyDescent="0.2">
      <c r="A4529" s="236"/>
      <c r="B4529" s="236"/>
      <c r="C4529" s="236"/>
      <c r="D4529" s="236"/>
      <c r="E4529" s="237"/>
      <c r="G4529" s="237"/>
      <c r="H4529" s="237"/>
      <c r="I4529" s="237"/>
      <c r="K4529" s="237"/>
      <c r="N4529" s="237"/>
      <c r="O4529" s="237"/>
      <c r="P4529" s="237"/>
      <c r="Q4529" s="237"/>
      <c r="AL4529" s="226"/>
      <c r="AM4529" s="226"/>
    </row>
    <row r="4530" spans="1:39" x14ac:dyDescent="0.25">
      <c r="AA4530" s="237"/>
      <c r="AB4530" s="237"/>
      <c r="AC4530" s="237"/>
      <c r="AD4530" s="237"/>
      <c r="AE4530" s="237"/>
      <c r="AF4530" s="237"/>
      <c r="AG4530" s="237"/>
      <c r="AH4530" s="237"/>
      <c r="AJ4530" s="238"/>
    </row>
    <row r="4531" spans="1:39" x14ac:dyDescent="0.25">
      <c r="AA4531" s="237"/>
      <c r="AB4531" s="237"/>
      <c r="AC4531" s="237"/>
      <c r="AD4531" s="237"/>
      <c r="AE4531" s="237"/>
      <c r="AF4531" s="237"/>
      <c r="AG4531" s="237"/>
      <c r="AH4531" s="237"/>
      <c r="AJ4531" s="238"/>
    </row>
    <row r="4532" spans="1:39" x14ac:dyDescent="0.25">
      <c r="AA4532" s="237"/>
      <c r="AB4532" s="237"/>
      <c r="AC4532" s="237"/>
      <c r="AD4532" s="237"/>
      <c r="AE4532" s="237"/>
      <c r="AF4532" s="237"/>
      <c r="AG4532" s="237"/>
      <c r="AH4532" s="237"/>
      <c r="AJ4532" s="238"/>
    </row>
    <row r="4533" spans="1:39" ht="12.75" x14ac:dyDescent="0.2">
      <c r="AL4533" s="226"/>
      <c r="AM4533" s="226"/>
    </row>
    <row r="4534" spans="1:39" ht="12.75" x14ac:dyDescent="0.2">
      <c r="A4534" s="236"/>
      <c r="B4534" s="236"/>
      <c r="C4534" s="236"/>
      <c r="D4534" s="236"/>
      <c r="E4534" s="237"/>
      <c r="G4534" s="237"/>
      <c r="H4534" s="237"/>
      <c r="I4534" s="237"/>
      <c r="K4534" s="237"/>
      <c r="N4534" s="237"/>
      <c r="O4534" s="237"/>
      <c r="P4534" s="237"/>
      <c r="Q4534" s="237"/>
      <c r="AL4534" s="226"/>
      <c r="AM4534" s="226"/>
    </row>
    <row r="4535" spans="1:39" x14ac:dyDescent="0.25">
      <c r="AA4535" s="237"/>
      <c r="AB4535" s="237"/>
      <c r="AC4535" s="237"/>
      <c r="AD4535" s="237"/>
      <c r="AE4535" s="237"/>
      <c r="AF4535" s="237"/>
      <c r="AG4535" s="237"/>
      <c r="AH4535" s="237"/>
      <c r="AJ4535" s="238"/>
    </row>
    <row r="4536" spans="1:39" ht="12.75" x14ac:dyDescent="0.2">
      <c r="AL4536" s="226"/>
      <c r="AM4536" s="226"/>
    </row>
    <row r="4537" spans="1:39" ht="12.75" x14ac:dyDescent="0.2">
      <c r="A4537" s="236"/>
      <c r="B4537" s="236"/>
      <c r="C4537" s="236"/>
      <c r="D4537" s="236"/>
      <c r="E4537" s="237"/>
      <c r="G4537" s="237"/>
      <c r="H4537" s="237"/>
      <c r="I4537" s="237"/>
      <c r="K4537" s="237"/>
      <c r="N4537" s="237"/>
      <c r="O4537" s="237"/>
      <c r="P4537" s="237"/>
      <c r="Q4537" s="237"/>
      <c r="AL4537" s="226"/>
      <c r="AM4537" s="226"/>
    </row>
    <row r="4538" spans="1:39" x14ac:dyDescent="0.25">
      <c r="AA4538" s="237"/>
      <c r="AB4538" s="237"/>
      <c r="AC4538" s="237"/>
      <c r="AD4538" s="237"/>
      <c r="AE4538" s="237"/>
      <c r="AF4538" s="237"/>
      <c r="AG4538" s="237"/>
      <c r="AH4538" s="237"/>
      <c r="AJ4538" s="238"/>
    </row>
    <row r="4539" spans="1:39" ht="12.75" x14ac:dyDescent="0.2">
      <c r="AL4539" s="226"/>
      <c r="AM4539" s="226"/>
    </row>
    <row r="4540" spans="1:39" ht="12.75" x14ac:dyDescent="0.2">
      <c r="A4540" s="236"/>
      <c r="B4540" s="236"/>
      <c r="C4540" s="236"/>
      <c r="D4540" s="236"/>
      <c r="E4540" s="237"/>
      <c r="G4540" s="237"/>
      <c r="H4540" s="237"/>
      <c r="I4540" s="237"/>
      <c r="K4540" s="237"/>
      <c r="N4540" s="237"/>
      <c r="O4540" s="237"/>
      <c r="P4540" s="237"/>
      <c r="Q4540" s="237"/>
      <c r="AL4540" s="226"/>
      <c r="AM4540" s="226"/>
    </row>
    <row r="4541" spans="1:39" x14ac:dyDescent="0.25">
      <c r="AA4541" s="237"/>
      <c r="AB4541" s="237"/>
      <c r="AC4541" s="237"/>
      <c r="AD4541" s="237"/>
      <c r="AE4541" s="237"/>
      <c r="AF4541" s="237"/>
      <c r="AG4541" s="237"/>
      <c r="AH4541" s="237"/>
      <c r="AJ4541" s="238"/>
    </row>
    <row r="4542" spans="1:39" x14ac:dyDescent="0.25">
      <c r="AA4542" s="237"/>
      <c r="AB4542" s="237"/>
      <c r="AC4542" s="237"/>
      <c r="AD4542" s="237"/>
      <c r="AE4542" s="237"/>
      <c r="AF4542" s="237"/>
      <c r="AG4542" s="237"/>
      <c r="AH4542" s="237"/>
      <c r="AJ4542" s="238"/>
    </row>
    <row r="4543" spans="1:39" x14ac:dyDescent="0.25">
      <c r="AA4543" s="237"/>
      <c r="AB4543" s="237"/>
      <c r="AC4543" s="237"/>
      <c r="AD4543" s="237"/>
      <c r="AE4543" s="237"/>
      <c r="AF4543" s="237"/>
      <c r="AG4543" s="237"/>
      <c r="AH4543" s="237"/>
      <c r="AJ4543" s="238"/>
    </row>
    <row r="4544" spans="1:39" x14ac:dyDescent="0.25">
      <c r="AA4544" s="237"/>
      <c r="AB4544" s="237"/>
      <c r="AC4544" s="237"/>
      <c r="AD4544" s="237"/>
      <c r="AE4544" s="237"/>
      <c r="AF4544" s="237"/>
      <c r="AG4544" s="237"/>
      <c r="AH4544" s="237"/>
      <c r="AJ4544" s="238"/>
    </row>
    <row r="4545" spans="1:39" ht="12.75" x14ac:dyDescent="0.2">
      <c r="AL4545" s="226"/>
      <c r="AM4545" s="226"/>
    </row>
    <row r="4546" spans="1:39" ht="12.75" x14ac:dyDescent="0.2">
      <c r="A4546" s="236"/>
      <c r="B4546" s="236"/>
      <c r="C4546" s="236"/>
      <c r="D4546" s="236"/>
      <c r="E4546" s="237"/>
      <c r="G4546" s="237"/>
      <c r="H4546" s="237"/>
      <c r="I4546" s="237"/>
      <c r="K4546" s="237"/>
      <c r="N4546" s="237"/>
      <c r="O4546" s="237"/>
      <c r="P4546" s="237"/>
      <c r="Q4546" s="237"/>
      <c r="AL4546" s="226"/>
      <c r="AM4546" s="226"/>
    </row>
    <row r="4547" spans="1:39" x14ac:dyDescent="0.25">
      <c r="AA4547" s="237"/>
      <c r="AB4547" s="237"/>
      <c r="AC4547" s="237"/>
      <c r="AD4547" s="237"/>
      <c r="AE4547" s="237"/>
      <c r="AF4547" s="237"/>
      <c r="AG4547" s="237"/>
      <c r="AH4547" s="237"/>
      <c r="AJ4547" s="238"/>
    </row>
    <row r="4548" spans="1:39" x14ac:dyDescent="0.25">
      <c r="AA4548" s="237"/>
      <c r="AB4548" s="237"/>
      <c r="AC4548" s="237"/>
      <c r="AD4548" s="237"/>
      <c r="AE4548" s="237"/>
      <c r="AF4548" s="237"/>
      <c r="AG4548" s="237"/>
      <c r="AH4548" s="237"/>
      <c r="AJ4548" s="238"/>
    </row>
    <row r="4549" spans="1:39" ht="12.75" x14ac:dyDescent="0.2">
      <c r="AL4549" s="226"/>
      <c r="AM4549" s="226"/>
    </row>
    <row r="4550" spans="1:39" ht="12.75" x14ac:dyDescent="0.2">
      <c r="A4550" s="236"/>
      <c r="B4550" s="236"/>
      <c r="C4550" s="236"/>
      <c r="D4550" s="236"/>
      <c r="E4550" s="237"/>
      <c r="G4550" s="237"/>
      <c r="H4550" s="237"/>
      <c r="I4550" s="237"/>
      <c r="K4550" s="237"/>
      <c r="N4550" s="237"/>
      <c r="O4550" s="237"/>
      <c r="P4550" s="237"/>
      <c r="Q4550" s="237"/>
      <c r="AL4550" s="226"/>
      <c r="AM4550" s="226"/>
    </row>
    <row r="4551" spans="1:39" x14ac:dyDescent="0.25">
      <c r="AA4551" s="237"/>
      <c r="AB4551" s="237"/>
      <c r="AC4551" s="237"/>
      <c r="AD4551" s="237"/>
      <c r="AE4551" s="237"/>
      <c r="AF4551" s="237"/>
      <c r="AG4551" s="237"/>
      <c r="AH4551" s="237"/>
      <c r="AJ4551" s="238"/>
    </row>
    <row r="4552" spans="1:39" ht="12.75" x14ac:dyDescent="0.2">
      <c r="AL4552" s="226"/>
      <c r="AM4552" s="226"/>
    </row>
    <row r="4553" spans="1:39" ht="12.75" x14ac:dyDescent="0.2">
      <c r="A4553" s="236"/>
      <c r="B4553" s="236"/>
      <c r="C4553" s="236"/>
      <c r="D4553" s="236"/>
      <c r="E4553" s="237"/>
      <c r="G4553" s="237"/>
      <c r="H4553" s="237"/>
      <c r="I4553" s="237"/>
      <c r="K4553" s="237"/>
      <c r="N4553" s="237"/>
      <c r="O4553" s="237"/>
      <c r="P4553" s="237"/>
      <c r="Q4553" s="237"/>
      <c r="AL4553" s="226"/>
      <c r="AM4553" s="226"/>
    </row>
    <row r="4554" spans="1:39" x14ac:dyDescent="0.25">
      <c r="AA4554" s="237"/>
      <c r="AB4554" s="237"/>
      <c r="AC4554" s="237"/>
      <c r="AD4554" s="237"/>
      <c r="AE4554" s="237"/>
      <c r="AF4554" s="237"/>
      <c r="AG4554" s="237"/>
      <c r="AH4554" s="237"/>
      <c r="AJ4554" s="238"/>
    </row>
    <row r="4555" spans="1:39" ht="12.75" x14ac:dyDescent="0.2">
      <c r="AL4555" s="226"/>
      <c r="AM4555" s="226"/>
    </row>
    <row r="4556" spans="1:39" ht="12.75" x14ac:dyDescent="0.2">
      <c r="A4556" s="236"/>
      <c r="B4556" s="236"/>
      <c r="C4556" s="236"/>
      <c r="D4556" s="236"/>
      <c r="E4556" s="237"/>
      <c r="G4556" s="237"/>
      <c r="H4556" s="237"/>
      <c r="I4556" s="237"/>
      <c r="K4556" s="237"/>
      <c r="N4556" s="237"/>
      <c r="O4556" s="237"/>
      <c r="P4556" s="237"/>
      <c r="Q4556" s="237"/>
      <c r="AL4556" s="226"/>
      <c r="AM4556" s="226"/>
    </row>
    <row r="4557" spans="1:39" x14ac:dyDescent="0.25">
      <c r="AA4557" s="237"/>
      <c r="AB4557" s="237"/>
      <c r="AC4557" s="237"/>
      <c r="AD4557" s="237"/>
      <c r="AE4557" s="237"/>
      <c r="AF4557" s="237"/>
      <c r="AG4557" s="237"/>
      <c r="AH4557" s="237"/>
      <c r="AJ4557" s="238"/>
    </row>
    <row r="4558" spans="1:39" x14ac:dyDescent="0.25">
      <c r="AA4558" s="237"/>
      <c r="AB4558" s="237"/>
      <c r="AC4558" s="237"/>
      <c r="AD4558" s="237"/>
      <c r="AE4558" s="237"/>
      <c r="AF4558" s="237"/>
      <c r="AG4558" s="237"/>
      <c r="AH4558" s="237"/>
      <c r="AJ4558" s="238"/>
    </row>
    <row r="4559" spans="1:39" ht="12.75" x14ac:dyDescent="0.2">
      <c r="AL4559" s="226"/>
      <c r="AM4559" s="226"/>
    </row>
    <row r="4560" spans="1:39" ht="12.75" x14ac:dyDescent="0.2">
      <c r="A4560" s="236"/>
      <c r="B4560" s="236"/>
      <c r="C4560" s="236"/>
      <c r="D4560" s="236"/>
      <c r="E4560" s="237"/>
      <c r="G4560" s="237"/>
      <c r="H4560" s="237"/>
      <c r="I4560" s="237"/>
      <c r="K4560" s="237"/>
      <c r="N4560" s="237"/>
      <c r="O4560" s="237"/>
      <c r="P4560" s="237"/>
      <c r="Q4560" s="237"/>
      <c r="AL4560" s="226"/>
      <c r="AM4560" s="226"/>
    </row>
    <row r="4561" spans="1:39" x14ac:dyDescent="0.25">
      <c r="AA4561" s="237"/>
      <c r="AB4561" s="237"/>
      <c r="AC4561" s="237"/>
      <c r="AD4561" s="237"/>
      <c r="AE4561" s="237"/>
      <c r="AF4561" s="237"/>
      <c r="AG4561" s="237"/>
      <c r="AH4561" s="237"/>
      <c r="AJ4561" s="238"/>
    </row>
    <row r="4562" spans="1:39" ht="12.75" x14ac:dyDescent="0.2">
      <c r="AL4562" s="226"/>
      <c r="AM4562" s="226"/>
    </row>
    <row r="4563" spans="1:39" ht="12.75" x14ac:dyDescent="0.2">
      <c r="A4563" s="236"/>
      <c r="B4563" s="236"/>
      <c r="C4563" s="236"/>
      <c r="D4563" s="236"/>
      <c r="E4563" s="237"/>
      <c r="G4563" s="237"/>
      <c r="H4563" s="237"/>
      <c r="I4563" s="237"/>
      <c r="K4563" s="237"/>
      <c r="N4563" s="237"/>
      <c r="O4563" s="237"/>
      <c r="P4563" s="237"/>
      <c r="Q4563" s="237"/>
      <c r="AL4563" s="226"/>
      <c r="AM4563" s="226"/>
    </row>
    <row r="4564" spans="1:39" x14ac:dyDescent="0.25">
      <c r="AA4564" s="237"/>
      <c r="AB4564" s="237"/>
      <c r="AC4564" s="237"/>
      <c r="AD4564" s="237"/>
      <c r="AE4564" s="237"/>
      <c r="AF4564" s="237"/>
      <c r="AG4564" s="237"/>
      <c r="AH4564" s="237"/>
      <c r="AJ4564" s="238"/>
    </row>
    <row r="4565" spans="1:39" ht="12.75" x14ac:dyDescent="0.2">
      <c r="AL4565" s="226"/>
      <c r="AM4565" s="226"/>
    </row>
    <row r="4566" spans="1:39" ht="12.75" x14ac:dyDescent="0.2">
      <c r="A4566" s="236"/>
      <c r="B4566" s="236"/>
      <c r="C4566" s="236"/>
      <c r="D4566" s="236"/>
      <c r="E4566" s="237"/>
      <c r="G4566" s="237"/>
      <c r="H4566" s="237"/>
      <c r="I4566" s="237"/>
      <c r="K4566" s="237"/>
      <c r="N4566" s="237"/>
      <c r="O4566" s="237"/>
      <c r="P4566" s="237"/>
      <c r="Q4566" s="237"/>
      <c r="AL4566" s="226"/>
      <c r="AM4566" s="226"/>
    </row>
    <row r="4567" spans="1:39" x14ac:dyDescent="0.25">
      <c r="AA4567" s="237"/>
      <c r="AB4567" s="237"/>
      <c r="AC4567" s="237"/>
      <c r="AD4567" s="237"/>
      <c r="AE4567" s="237"/>
      <c r="AF4567" s="237"/>
      <c r="AG4567" s="237"/>
      <c r="AH4567" s="237"/>
      <c r="AJ4567" s="238"/>
    </row>
    <row r="4568" spans="1:39" x14ac:dyDescent="0.25">
      <c r="AA4568" s="237"/>
      <c r="AB4568" s="237"/>
      <c r="AC4568" s="237"/>
      <c r="AD4568" s="237"/>
      <c r="AE4568" s="237"/>
      <c r="AF4568" s="237"/>
      <c r="AG4568" s="237"/>
      <c r="AH4568" s="237"/>
      <c r="AJ4568" s="238"/>
    </row>
    <row r="4569" spans="1:39" x14ac:dyDescent="0.25">
      <c r="AA4569" s="237"/>
      <c r="AB4569" s="237"/>
      <c r="AC4569" s="237"/>
      <c r="AD4569" s="237"/>
      <c r="AE4569" s="237"/>
      <c r="AF4569" s="237"/>
      <c r="AG4569" s="237"/>
      <c r="AH4569" s="237"/>
      <c r="AJ4569" s="238"/>
    </row>
    <row r="4570" spans="1:39" x14ac:dyDescent="0.25">
      <c r="AA4570" s="237"/>
      <c r="AB4570" s="237"/>
      <c r="AC4570" s="237"/>
      <c r="AD4570" s="237"/>
      <c r="AE4570" s="237"/>
      <c r="AF4570" s="237"/>
      <c r="AG4570" s="237"/>
      <c r="AH4570" s="237"/>
      <c r="AJ4570" s="238"/>
    </row>
    <row r="4571" spans="1:39" x14ac:dyDescent="0.25">
      <c r="AA4571" s="237"/>
      <c r="AB4571" s="237"/>
      <c r="AC4571" s="237"/>
      <c r="AD4571" s="237"/>
      <c r="AE4571" s="237"/>
      <c r="AF4571" s="237"/>
      <c r="AG4571" s="237"/>
      <c r="AH4571" s="237"/>
      <c r="AJ4571" s="238"/>
    </row>
    <row r="4572" spans="1:39" ht="12.75" x14ac:dyDescent="0.2">
      <c r="AL4572" s="226"/>
      <c r="AM4572" s="226"/>
    </row>
    <row r="4573" spans="1:39" ht="12.75" x14ac:dyDescent="0.2">
      <c r="A4573" s="236"/>
      <c r="B4573" s="236"/>
      <c r="C4573" s="236"/>
      <c r="D4573" s="236"/>
      <c r="E4573" s="237"/>
      <c r="G4573" s="237"/>
      <c r="H4573" s="237"/>
      <c r="I4573" s="237"/>
      <c r="K4573" s="237"/>
      <c r="N4573" s="237"/>
      <c r="O4573" s="237"/>
      <c r="P4573" s="237"/>
      <c r="Q4573" s="237"/>
      <c r="AL4573" s="226"/>
      <c r="AM4573" s="226"/>
    </row>
    <row r="4574" spans="1:39" x14ac:dyDescent="0.25">
      <c r="AA4574" s="237"/>
      <c r="AB4574" s="237"/>
      <c r="AC4574" s="237"/>
      <c r="AD4574" s="237"/>
      <c r="AE4574" s="237"/>
      <c r="AF4574" s="237"/>
      <c r="AG4574" s="237"/>
      <c r="AH4574" s="237"/>
      <c r="AJ4574" s="238"/>
    </row>
    <row r="4575" spans="1:39" x14ac:dyDescent="0.25">
      <c r="AA4575" s="237"/>
      <c r="AB4575" s="237"/>
      <c r="AC4575" s="237"/>
      <c r="AD4575" s="237"/>
      <c r="AE4575" s="237"/>
      <c r="AF4575" s="237"/>
      <c r="AG4575" s="237"/>
      <c r="AH4575" s="237"/>
      <c r="AJ4575" s="238"/>
    </row>
    <row r="4576" spans="1:39" ht="12.75" x14ac:dyDescent="0.2">
      <c r="AL4576" s="226"/>
      <c r="AM4576" s="226"/>
    </row>
    <row r="4577" spans="1:39" ht="12.75" x14ac:dyDescent="0.2">
      <c r="A4577" s="236"/>
      <c r="B4577" s="236"/>
      <c r="C4577" s="236"/>
      <c r="D4577" s="236"/>
      <c r="E4577" s="237"/>
      <c r="G4577" s="237"/>
      <c r="H4577" s="237"/>
      <c r="I4577" s="237"/>
      <c r="K4577" s="237"/>
      <c r="N4577" s="237"/>
      <c r="O4577" s="237"/>
      <c r="P4577" s="237"/>
      <c r="Q4577" s="237"/>
      <c r="AL4577" s="226"/>
      <c r="AM4577" s="226"/>
    </row>
    <row r="4578" spans="1:39" x14ac:dyDescent="0.25">
      <c r="AA4578" s="237"/>
      <c r="AB4578" s="237"/>
      <c r="AC4578" s="237"/>
      <c r="AD4578" s="237"/>
      <c r="AE4578" s="237"/>
      <c r="AF4578" s="237"/>
      <c r="AG4578" s="237"/>
      <c r="AH4578" s="237"/>
      <c r="AJ4578" s="238"/>
    </row>
    <row r="4579" spans="1:39" ht="12.75" x14ac:dyDescent="0.2">
      <c r="AL4579" s="226"/>
      <c r="AM4579" s="226"/>
    </row>
    <row r="4580" spans="1:39" ht="12.75" x14ac:dyDescent="0.2">
      <c r="A4580" s="236"/>
      <c r="B4580" s="236"/>
      <c r="C4580" s="236"/>
      <c r="D4580" s="236"/>
      <c r="E4580" s="237"/>
      <c r="G4580" s="237"/>
      <c r="H4580" s="237"/>
      <c r="I4580" s="237"/>
      <c r="K4580" s="237"/>
      <c r="N4580" s="237"/>
      <c r="O4580" s="237"/>
      <c r="P4580" s="237"/>
      <c r="Q4580" s="237"/>
      <c r="AL4580" s="226"/>
      <c r="AM4580" s="226"/>
    </row>
    <row r="4581" spans="1:39" x14ac:dyDescent="0.25">
      <c r="AA4581" s="237"/>
      <c r="AB4581" s="237"/>
      <c r="AC4581" s="237"/>
      <c r="AD4581" s="237"/>
      <c r="AE4581" s="237"/>
      <c r="AF4581" s="237"/>
      <c r="AG4581" s="237"/>
      <c r="AH4581" s="237"/>
      <c r="AJ4581" s="238"/>
    </row>
    <row r="4582" spans="1:39" x14ac:dyDescent="0.25">
      <c r="AA4582" s="237"/>
      <c r="AB4582" s="237"/>
      <c r="AC4582" s="237"/>
      <c r="AD4582" s="237"/>
      <c r="AE4582" s="237"/>
      <c r="AF4582" s="237"/>
      <c r="AG4582" s="237"/>
      <c r="AH4582" s="237"/>
      <c r="AJ4582" s="238"/>
    </row>
    <row r="4583" spans="1:39" x14ac:dyDescent="0.25">
      <c r="AA4583" s="237"/>
      <c r="AB4583" s="237"/>
      <c r="AC4583" s="237"/>
      <c r="AD4583" s="237"/>
      <c r="AE4583" s="237"/>
      <c r="AF4583" s="237"/>
      <c r="AG4583" s="237"/>
      <c r="AH4583" s="237"/>
      <c r="AJ4583" s="238"/>
    </row>
    <row r="4584" spans="1:39" x14ac:dyDescent="0.25">
      <c r="AA4584" s="237"/>
      <c r="AB4584" s="237"/>
      <c r="AC4584" s="237"/>
      <c r="AD4584" s="237"/>
      <c r="AE4584" s="237"/>
      <c r="AF4584" s="237"/>
      <c r="AG4584" s="237"/>
      <c r="AH4584" s="237"/>
      <c r="AJ4584" s="238"/>
    </row>
    <row r="4585" spans="1:39" x14ac:dyDescent="0.25">
      <c r="AA4585" s="237"/>
      <c r="AB4585" s="237"/>
      <c r="AC4585" s="237"/>
      <c r="AD4585" s="237"/>
      <c r="AE4585" s="237"/>
      <c r="AF4585" s="237"/>
      <c r="AG4585" s="237"/>
      <c r="AH4585" s="237"/>
      <c r="AJ4585" s="238"/>
    </row>
    <row r="4586" spans="1:39" ht="12.75" x14ac:dyDescent="0.2">
      <c r="AL4586" s="226"/>
      <c r="AM4586" s="226"/>
    </row>
    <row r="4587" spans="1:39" ht="12.75" x14ac:dyDescent="0.2">
      <c r="A4587" s="236"/>
      <c r="B4587" s="236"/>
      <c r="C4587" s="236"/>
      <c r="D4587" s="236"/>
      <c r="E4587" s="237"/>
      <c r="G4587" s="237"/>
      <c r="H4587" s="237"/>
      <c r="I4587" s="237"/>
      <c r="K4587" s="237"/>
      <c r="N4587" s="237"/>
      <c r="O4587" s="237"/>
      <c r="P4587" s="237"/>
      <c r="Q4587" s="237"/>
      <c r="AL4587" s="226"/>
      <c r="AM4587" s="226"/>
    </row>
    <row r="4588" spans="1:39" x14ac:dyDescent="0.25">
      <c r="AA4588" s="237"/>
      <c r="AB4588" s="237"/>
      <c r="AC4588" s="237"/>
      <c r="AD4588" s="237"/>
      <c r="AE4588" s="237"/>
      <c r="AF4588" s="237"/>
      <c r="AG4588" s="237"/>
      <c r="AH4588" s="237"/>
      <c r="AJ4588" s="238"/>
    </row>
    <row r="4589" spans="1:39" x14ac:dyDescent="0.25">
      <c r="AA4589" s="237"/>
      <c r="AB4589" s="237"/>
      <c r="AC4589" s="237"/>
      <c r="AD4589" s="237"/>
      <c r="AE4589" s="237"/>
      <c r="AF4589" s="237"/>
      <c r="AG4589" s="237"/>
      <c r="AH4589" s="237"/>
      <c r="AJ4589" s="238"/>
    </row>
    <row r="4590" spans="1:39" x14ac:dyDescent="0.25">
      <c r="AA4590" s="237"/>
      <c r="AB4590" s="237"/>
      <c r="AC4590" s="237"/>
      <c r="AD4590" s="237"/>
      <c r="AE4590" s="237"/>
      <c r="AF4590" s="237"/>
      <c r="AG4590" s="237"/>
      <c r="AH4590" s="237"/>
      <c r="AJ4590" s="238"/>
    </row>
    <row r="4591" spans="1:39" ht="12.75" x14ac:dyDescent="0.2">
      <c r="AL4591" s="226"/>
      <c r="AM4591" s="226"/>
    </row>
    <row r="4592" spans="1:39" ht="12.75" x14ac:dyDescent="0.2">
      <c r="A4592" s="236"/>
      <c r="B4592" s="236"/>
      <c r="C4592" s="236"/>
      <c r="D4592" s="236"/>
      <c r="E4592" s="237"/>
      <c r="G4592" s="237"/>
      <c r="H4592" s="237"/>
      <c r="I4592" s="237"/>
      <c r="K4592" s="237"/>
      <c r="N4592" s="237"/>
      <c r="O4592" s="237"/>
      <c r="P4592" s="237"/>
      <c r="Q4592" s="237"/>
      <c r="AL4592" s="226"/>
      <c r="AM4592" s="226"/>
    </row>
    <row r="4593" spans="1:39" x14ac:dyDescent="0.25">
      <c r="AA4593" s="237"/>
      <c r="AB4593" s="237"/>
      <c r="AC4593" s="237"/>
      <c r="AD4593" s="237"/>
      <c r="AE4593" s="237"/>
      <c r="AF4593" s="237"/>
      <c r="AG4593" s="237"/>
      <c r="AH4593" s="237"/>
      <c r="AJ4593" s="238"/>
    </row>
    <row r="4594" spans="1:39" ht="12.75" x14ac:dyDescent="0.2">
      <c r="AL4594" s="226"/>
      <c r="AM4594" s="226"/>
    </row>
    <row r="4595" spans="1:39" ht="12.75" x14ac:dyDescent="0.2">
      <c r="A4595" s="236"/>
      <c r="B4595" s="236"/>
      <c r="C4595" s="236"/>
      <c r="D4595" s="236"/>
      <c r="E4595" s="237"/>
      <c r="G4595" s="237"/>
      <c r="H4595" s="237"/>
      <c r="I4595" s="237"/>
      <c r="K4595" s="237"/>
      <c r="N4595" s="237"/>
      <c r="O4595" s="237"/>
      <c r="P4595" s="237"/>
      <c r="Q4595" s="237"/>
      <c r="AL4595" s="226"/>
      <c r="AM4595" s="226"/>
    </row>
    <row r="4596" spans="1:39" x14ac:dyDescent="0.25">
      <c r="AA4596" s="237"/>
      <c r="AB4596" s="237"/>
      <c r="AC4596" s="237"/>
      <c r="AD4596" s="237"/>
      <c r="AE4596" s="237"/>
      <c r="AF4596" s="237"/>
      <c r="AG4596" s="237"/>
      <c r="AH4596" s="237"/>
      <c r="AJ4596" s="238"/>
    </row>
    <row r="4597" spans="1:39" ht="12.75" x14ac:dyDescent="0.2">
      <c r="AL4597" s="226"/>
      <c r="AM4597" s="226"/>
    </row>
    <row r="4598" spans="1:39" ht="12.75" x14ac:dyDescent="0.2">
      <c r="A4598" s="236"/>
      <c r="B4598" s="236"/>
      <c r="C4598" s="236"/>
      <c r="D4598" s="236"/>
      <c r="E4598" s="237"/>
      <c r="G4598" s="237"/>
      <c r="H4598" s="237"/>
      <c r="I4598" s="237"/>
      <c r="K4598" s="237"/>
      <c r="N4598" s="237"/>
      <c r="O4598" s="237"/>
      <c r="P4598" s="237"/>
      <c r="Q4598" s="237"/>
      <c r="AL4598" s="226"/>
      <c r="AM4598" s="226"/>
    </row>
    <row r="4599" spans="1:39" x14ac:dyDescent="0.25">
      <c r="AA4599" s="237"/>
      <c r="AB4599" s="237"/>
      <c r="AC4599" s="237"/>
      <c r="AD4599" s="237"/>
      <c r="AE4599" s="237"/>
      <c r="AF4599" s="237"/>
      <c r="AG4599" s="237"/>
      <c r="AH4599" s="237"/>
      <c r="AJ4599" s="238"/>
    </row>
    <row r="4600" spans="1:39" x14ac:dyDescent="0.25">
      <c r="AA4600" s="237"/>
      <c r="AB4600" s="237"/>
      <c r="AC4600" s="237"/>
      <c r="AD4600" s="237"/>
      <c r="AE4600" s="237"/>
      <c r="AF4600" s="237"/>
      <c r="AG4600" s="237"/>
      <c r="AH4600" s="237"/>
      <c r="AJ4600" s="238"/>
    </row>
    <row r="4601" spans="1:39" ht="12.75" x14ac:dyDescent="0.2">
      <c r="AL4601" s="226"/>
      <c r="AM4601" s="226"/>
    </row>
    <row r="4602" spans="1:39" ht="12.75" x14ac:dyDescent="0.2">
      <c r="A4602" s="236"/>
      <c r="B4602" s="236"/>
      <c r="C4602" s="236"/>
      <c r="D4602" s="236"/>
      <c r="E4602" s="237"/>
      <c r="G4602" s="237"/>
      <c r="H4602" s="237"/>
      <c r="I4602" s="237"/>
      <c r="K4602" s="237"/>
      <c r="N4602" s="237"/>
      <c r="O4602" s="237"/>
      <c r="P4602" s="237"/>
      <c r="Q4602" s="237"/>
      <c r="AL4602" s="226"/>
      <c r="AM4602" s="226"/>
    </row>
    <row r="4603" spans="1:39" x14ac:dyDescent="0.25">
      <c r="AA4603" s="237"/>
      <c r="AB4603" s="237"/>
      <c r="AC4603" s="237"/>
      <c r="AD4603" s="237"/>
      <c r="AE4603" s="237"/>
      <c r="AF4603" s="237"/>
      <c r="AG4603" s="237"/>
      <c r="AH4603" s="237"/>
      <c r="AJ4603" s="238"/>
    </row>
    <row r="4604" spans="1:39" ht="12.75" x14ac:dyDescent="0.2">
      <c r="AL4604" s="226"/>
      <c r="AM4604" s="226"/>
    </row>
    <row r="4605" spans="1:39" ht="12.75" x14ac:dyDescent="0.2">
      <c r="A4605" s="236"/>
      <c r="B4605" s="236"/>
      <c r="C4605" s="236"/>
      <c r="D4605" s="236"/>
      <c r="E4605" s="237"/>
      <c r="G4605" s="237"/>
      <c r="H4605" s="237"/>
      <c r="I4605" s="237"/>
      <c r="K4605" s="237"/>
      <c r="N4605" s="237"/>
      <c r="O4605" s="237"/>
      <c r="P4605" s="237"/>
      <c r="Q4605" s="237"/>
      <c r="AL4605" s="226"/>
      <c r="AM4605" s="226"/>
    </row>
    <row r="4606" spans="1:39" x14ac:dyDescent="0.25">
      <c r="AA4606" s="237"/>
      <c r="AB4606" s="237"/>
      <c r="AC4606" s="237"/>
      <c r="AD4606" s="237"/>
      <c r="AE4606" s="237"/>
      <c r="AF4606" s="237"/>
      <c r="AG4606" s="237"/>
      <c r="AH4606" s="237"/>
      <c r="AJ4606" s="238"/>
    </row>
    <row r="4607" spans="1:39" ht="12.75" x14ac:dyDescent="0.2">
      <c r="AL4607" s="226"/>
      <c r="AM4607" s="226"/>
    </row>
    <row r="4608" spans="1:39" ht="12.75" x14ac:dyDescent="0.2">
      <c r="A4608" s="236"/>
      <c r="B4608" s="236"/>
      <c r="C4608" s="236"/>
      <c r="D4608" s="236"/>
      <c r="E4608" s="237"/>
      <c r="G4608" s="237"/>
      <c r="H4608" s="237"/>
      <c r="I4608" s="237"/>
      <c r="K4608" s="237"/>
      <c r="N4608" s="237"/>
      <c r="O4608" s="237"/>
      <c r="P4608" s="237"/>
      <c r="Q4608" s="237"/>
      <c r="AL4608" s="226"/>
      <c r="AM4608" s="226"/>
    </row>
    <row r="4609" spans="1:39" x14ac:dyDescent="0.25">
      <c r="AA4609" s="237"/>
      <c r="AB4609" s="237"/>
      <c r="AC4609" s="237"/>
      <c r="AD4609" s="237"/>
      <c r="AE4609" s="237"/>
      <c r="AF4609" s="237"/>
      <c r="AG4609" s="237"/>
      <c r="AH4609" s="237"/>
      <c r="AJ4609" s="238"/>
    </row>
    <row r="4610" spans="1:39" x14ac:dyDescent="0.25">
      <c r="AA4610" s="237"/>
      <c r="AB4610" s="237"/>
      <c r="AC4610" s="237"/>
      <c r="AD4610" s="237"/>
      <c r="AE4610" s="237"/>
      <c r="AF4610" s="237"/>
      <c r="AG4610" s="237"/>
      <c r="AH4610" s="237"/>
      <c r="AJ4610" s="238"/>
    </row>
    <row r="4611" spans="1:39" x14ac:dyDescent="0.25">
      <c r="AA4611" s="237"/>
      <c r="AB4611" s="237"/>
      <c r="AC4611" s="237"/>
      <c r="AD4611" s="237"/>
      <c r="AE4611" s="237"/>
      <c r="AF4611" s="237"/>
      <c r="AG4611" s="237"/>
      <c r="AH4611" s="237"/>
      <c r="AJ4611" s="238"/>
    </row>
    <row r="4612" spans="1:39" x14ac:dyDescent="0.25">
      <c r="AA4612" s="237"/>
      <c r="AB4612" s="237"/>
      <c r="AC4612" s="237"/>
      <c r="AD4612" s="237"/>
      <c r="AE4612" s="237"/>
      <c r="AF4612" s="237"/>
      <c r="AG4612" s="237"/>
      <c r="AH4612" s="237"/>
      <c r="AJ4612" s="238"/>
    </row>
    <row r="4613" spans="1:39" ht="12.75" x14ac:dyDescent="0.2">
      <c r="AL4613" s="226"/>
      <c r="AM4613" s="226"/>
    </row>
    <row r="4614" spans="1:39" ht="12.75" x14ac:dyDescent="0.2">
      <c r="A4614" s="236"/>
      <c r="B4614" s="236"/>
      <c r="C4614" s="236"/>
      <c r="D4614" s="236"/>
      <c r="E4614" s="237"/>
      <c r="G4614" s="237"/>
      <c r="H4614" s="237"/>
      <c r="I4614" s="237"/>
      <c r="K4614" s="237"/>
      <c r="N4614" s="237"/>
      <c r="O4614" s="237"/>
      <c r="P4614" s="237"/>
      <c r="Q4614" s="237"/>
      <c r="AL4614" s="226"/>
      <c r="AM4614" s="226"/>
    </row>
    <row r="4615" spans="1:39" x14ac:dyDescent="0.25">
      <c r="AA4615" s="237"/>
      <c r="AB4615" s="237"/>
      <c r="AC4615" s="237"/>
      <c r="AD4615" s="237"/>
      <c r="AE4615" s="237"/>
      <c r="AF4615" s="237"/>
      <c r="AG4615" s="237"/>
      <c r="AH4615" s="237"/>
      <c r="AJ4615" s="238"/>
    </row>
    <row r="4616" spans="1:39" ht="12.75" x14ac:dyDescent="0.2">
      <c r="AL4616" s="226"/>
      <c r="AM4616" s="226"/>
    </row>
    <row r="4617" spans="1:39" ht="12.75" x14ac:dyDescent="0.2">
      <c r="A4617" s="236"/>
      <c r="B4617" s="236"/>
      <c r="C4617" s="236"/>
      <c r="D4617" s="236"/>
      <c r="E4617" s="237"/>
      <c r="G4617" s="237"/>
      <c r="H4617" s="237"/>
      <c r="I4617" s="237"/>
      <c r="K4617" s="237"/>
      <c r="N4617" s="237"/>
      <c r="O4617" s="237"/>
      <c r="P4617" s="237"/>
      <c r="Q4617" s="237"/>
      <c r="AL4617" s="226"/>
      <c r="AM4617" s="226"/>
    </row>
    <row r="4618" spans="1:39" x14ac:dyDescent="0.25">
      <c r="AA4618" s="237"/>
      <c r="AB4618" s="237"/>
      <c r="AC4618" s="237"/>
      <c r="AD4618" s="237"/>
      <c r="AE4618" s="237"/>
      <c r="AF4618" s="237"/>
      <c r="AG4618" s="237"/>
      <c r="AH4618" s="237"/>
      <c r="AJ4618" s="238"/>
    </row>
    <row r="4619" spans="1:39" x14ac:dyDescent="0.25">
      <c r="AA4619" s="237"/>
      <c r="AB4619" s="237"/>
      <c r="AC4619" s="237"/>
      <c r="AD4619" s="237"/>
      <c r="AE4619" s="237"/>
      <c r="AF4619" s="237"/>
      <c r="AG4619" s="237"/>
      <c r="AH4619" s="237"/>
      <c r="AJ4619" s="238"/>
    </row>
    <row r="4620" spans="1:39" x14ac:dyDescent="0.25">
      <c r="AA4620" s="237"/>
      <c r="AB4620" s="237"/>
      <c r="AC4620" s="237"/>
      <c r="AD4620" s="237"/>
      <c r="AE4620" s="237"/>
      <c r="AF4620" s="237"/>
      <c r="AG4620" s="237"/>
      <c r="AH4620" s="237"/>
      <c r="AJ4620" s="238"/>
    </row>
    <row r="4621" spans="1:39" x14ac:dyDescent="0.25">
      <c r="AA4621" s="237"/>
      <c r="AB4621" s="237"/>
      <c r="AC4621" s="237"/>
      <c r="AD4621" s="237"/>
      <c r="AE4621" s="237"/>
      <c r="AF4621" s="237"/>
      <c r="AG4621" s="237"/>
      <c r="AH4621" s="237"/>
      <c r="AJ4621" s="238"/>
    </row>
    <row r="4622" spans="1:39" ht="12.75" x14ac:dyDescent="0.2">
      <c r="AL4622" s="226"/>
      <c r="AM4622" s="226"/>
    </row>
    <row r="4623" spans="1:39" ht="12.75" x14ac:dyDescent="0.2">
      <c r="A4623" s="236"/>
      <c r="B4623" s="236"/>
      <c r="C4623" s="236"/>
      <c r="D4623" s="236"/>
      <c r="E4623" s="237"/>
      <c r="G4623" s="237"/>
      <c r="H4623" s="237"/>
      <c r="I4623" s="237"/>
      <c r="K4623" s="237"/>
      <c r="N4623" s="237"/>
      <c r="O4623" s="237"/>
      <c r="P4623" s="237"/>
      <c r="Q4623" s="237"/>
      <c r="AL4623" s="226"/>
      <c r="AM4623" s="226"/>
    </row>
    <row r="4624" spans="1:39" x14ac:dyDescent="0.25">
      <c r="AA4624" s="237"/>
      <c r="AB4624" s="237"/>
      <c r="AC4624" s="237"/>
      <c r="AD4624" s="237"/>
      <c r="AE4624" s="237"/>
      <c r="AF4624" s="237"/>
      <c r="AG4624" s="237"/>
      <c r="AH4624" s="237"/>
      <c r="AJ4624" s="238"/>
    </row>
    <row r="4625" spans="1:39" x14ac:dyDescent="0.25">
      <c r="AA4625" s="237"/>
      <c r="AB4625" s="237"/>
      <c r="AC4625" s="237"/>
      <c r="AD4625" s="237"/>
      <c r="AE4625" s="237"/>
      <c r="AF4625" s="237"/>
      <c r="AG4625" s="237"/>
      <c r="AH4625" s="237"/>
      <c r="AJ4625" s="238"/>
    </row>
    <row r="4626" spans="1:39" ht="12.75" x14ac:dyDescent="0.2">
      <c r="AL4626" s="226"/>
      <c r="AM4626" s="226"/>
    </row>
    <row r="4627" spans="1:39" ht="12.75" x14ac:dyDescent="0.2">
      <c r="A4627" s="236"/>
      <c r="B4627" s="236"/>
      <c r="C4627" s="236"/>
      <c r="D4627" s="236"/>
      <c r="E4627" s="237"/>
      <c r="G4627" s="237"/>
      <c r="H4627" s="237"/>
      <c r="I4627" s="237"/>
      <c r="K4627" s="237"/>
      <c r="N4627" s="237"/>
      <c r="O4627" s="237"/>
      <c r="P4627" s="237"/>
      <c r="Q4627" s="237"/>
      <c r="AL4627" s="226"/>
      <c r="AM4627" s="226"/>
    </row>
    <row r="4628" spans="1:39" x14ac:dyDescent="0.25">
      <c r="AA4628" s="237"/>
      <c r="AB4628" s="237"/>
      <c r="AC4628" s="237"/>
      <c r="AD4628" s="237"/>
      <c r="AE4628" s="237"/>
      <c r="AF4628" s="237"/>
      <c r="AG4628" s="237"/>
      <c r="AH4628" s="237"/>
      <c r="AJ4628" s="238"/>
    </row>
    <row r="4629" spans="1:39" x14ac:dyDescent="0.25">
      <c r="AA4629" s="237"/>
      <c r="AB4629" s="237"/>
      <c r="AC4629" s="237"/>
      <c r="AD4629" s="237"/>
      <c r="AE4629" s="237"/>
      <c r="AF4629" s="237"/>
      <c r="AG4629" s="237"/>
      <c r="AH4629" s="237"/>
      <c r="AJ4629" s="238"/>
    </row>
    <row r="4630" spans="1:39" x14ac:dyDescent="0.25">
      <c r="AA4630" s="237"/>
      <c r="AB4630" s="237"/>
      <c r="AC4630" s="237"/>
      <c r="AD4630" s="237"/>
      <c r="AE4630" s="237"/>
      <c r="AF4630" s="237"/>
      <c r="AG4630" s="237"/>
      <c r="AH4630" s="237"/>
      <c r="AJ4630" s="238"/>
    </row>
    <row r="4631" spans="1:39" x14ac:dyDescent="0.25">
      <c r="AA4631" s="237"/>
      <c r="AB4631" s="237"/>
      <c r="AC4631" s="237"/>
      <c r="AD4631" s="237"/>
      <c r="AE4631" s="237"/>
      <c r="AF4631" s="237"/>
      <c r="AG4631" s="237"/>
      <c r="AH4631" s="237"/>
      <c r="AJ4631" s="238"/>
    </row>
    <row r="4632" spans="1:39" x14ac:dyDescent="0.25">
      <c r="AA4632" s="237"/>
      <c r="AB4632" s="237"/>
      <c r="AC4632" s="237"/>
      <c r="AD4632" s="237"/>
      <c r="AE4632" s="237"/>
      <c r="AF4632" s="237"/>
      <c r="AG4632" s="237"/>
      <c r="AH4632" s="237"/>
      <c r="AJ4632" s="238"/>
    </row>
    <row r="4633" spans="1:39" x14ac:dyDescent="0.25">
      <c r="AA4633" s="237"/>
      <c r="AB4633" s="237"/>
      <c r="AC4633" s="237"/>
      <c r="AD4633" s="237"/>
      <c r="AE4633" s="237"/>
      <c r="AF4633" s="237"/>
      <c r="AG4633" s="237"/>
      <c r="AH4633" s="237"/>
      <c r="AJ4633" s="238"/>
    </row>
    <row r="4634" spans="1:39" ht="12.75" x14ac:dyDescent="0.2">
      <c r="AL4634" s="226"/>
      <c r="AM4634" s="226"/>
    </row>
    <row r="4635" spans="1:39" ht="12.75" x14ac:dyDescent="0.2">
      <c r="A4635" s="236"/>
      <c r="B4635" s="236"/>
      <c r="C4635" s="236"/>
      <c r="D4635" s="236"/>
      <c r="E4635" s="237"/>
      <c r="G4635" s="237"/>
      <c r="H4635" s="237"/>
      <c r="I4635" s="237"/>
      <c r="K4635" s="237"/>
      <c r="N4635" s="237"/>
      <c r="O4635" s="237"/>
      <c r="P4635" s="237"/>
      <c r="Q4635" s="237"/>
      <c r="AL4635" s="226"/>
      <c r="AM4635" s="226"/>
    </row>
    <row r="4636" spans="1:39" x14ac:dyDescent="0.25">
      <c r="AA4636" s="237"/>
      <c r="AB4636" s="237"/>
      <c r="AC4636" s="237"/>
      <c r="AD4636" s="237"/>
      <c r="AE4636" s="237"/>
      <c r="AF4636" s="237"/>
      <c r="AG4636" s="237"/>
      <c r="AH4636" s="237"/>
      <c r="AJ4636" s="238"/>
    </row>
    <row r="4637" spans="1:39" x14ac:dyDescent="0.25">
      <c r="AA4637" s="237"/>
      <c r="AB4637" s="237"/>
      <c r="AC4637" s="237"/>
      <c r="AD4637" s="237"/>
      <c r="AE4637" s="237"/>
      <c r="AF4637" s="237"/>
      <c r="AG4637" s="237"/>
      <c r="AH4637" s="237"/>
      <c r="AJ4637" s="238"/>
    </row>
    <row r="4638" spans="1:39" ht="12.75" x14ac:dyDescent="0.2">
      <c r="AL4638" s="226"/>
      <c r="AM4638" s="226"/>
    </row>
    <row r="4639" spans="1:39" ht="12.75" x14ac:dyDescent="0.2">
      <c r="A4639" s="236"/>
      <c r="B4639" s="236"/>
      <c r="C4639" s="236"/>
      <c r="D4639" s="236"/>
      <c r="E4639" s="237"/>
      <c r="G4639" s="237"/>
      <c r="H4639" s="237"/>
      <c r="I4639" s="237"/>
      <c r="K4639" s="237"/>
      <c r="N4639" s="237"/>
      <c r="O4639" s="237"/>
      <c r="P4639" s="237"/>
      <c r="Q4639" s="237"/>
      <c r="AL4639" s="226"/>
      <c r="AM4639" s="226"/>
    </row>
    <row r="4640" spans="1:39" x14ac:dyDescent="0.25">
      <c r="AA4640" s="237"/>
      <c r="AB4640" s="237"/>
      <c r="AC4640" s="237"/>
      <c r="AD4640" s="237"/>
      <c r="AE4640" s="237"/>
      <c r="AF4640" s="237"/>
      <c r="AG4640" s="237"/>
      <c r="AH4640" s="237"/>
      <c r="AJ4640" s="238"/>
    </row>
    <row r="4641" spans="1:39" x14ac:dyDescent="0.25">
      <c r="AA4641" s="237"/>
      <c r="AB4641" s="237"/>
      <c r="AC4641" s="237"/>
      <c r="AD4641" s="237"/>
      <c r="AE4641" s="237"/>
      <c r="AF4641" s="237"/>
      <c r="AG4641" s="237"/>
      <c r="AH4641" s="237"/>
      <c r="AJ4641" s="238"/>
    </row>
    <row r="4642" spans="1:39" x14ac:dyDescent="0.25">
      <c r="AA4642" s="237"/>
      <c r="AB4642" s="237"/>
      <c r="AC4642" s="237"/>
      <c r="AD4642" s="237"/>
      <c r="AE4642" s="237"/>
      <c r="AF4642" s="237"/>
      <c r="AG4642" s="237"/>
      <c r="AH4642" s="237"/>
      <c r="AJ4642" s="238"/>
    </row>
    <row r="4643" spans="1:39" x14ac:dyDescent="0.25">
      <c r="AA4643" s="237"/>
      <c r="AB4643" s="237"/>
      <c r="AC4643" s="237"/>
      <c r="AD4643" s="237"/>
      <c r="AE4643" s="237"/>
      <c r="AF4643" s="237"/>
      <c r="AG4643" s="237"/>
      <c r="AH4643" s="237"/>
      <c r="AJ4643" s="238"/>
    </row>
    <row r="4644" spans="1:39" ht="12.75" x14ac:dyDescent="0.2">
      <c r="AL4644" s="226"/>
      <c r="AM4644" s="226"/>
    </row>
    <row r="4645" spans="1:39" ht="12.75" x14ac:dyDescent="0.2">
      <c r="A4645" s="236"/>
      <c r="B4645" s="236"/>
      <c r="C4645" s="236"/>
      <c r="D4645" s="236"/>
      <c r="E4645" s="237"/>
      <c r="G4645" s="237"/>
      <c r="H4645" s="237"/>
      <c r="I4645" s="237"/>
      <c r="K4645" s="237"/>
      <c r="N4645" s="237"/>
      <c r="O4645" s="237"/>
      <c r="P4645" s="237"/>
      <c r="Q4645" s="237"/>
      <c r="AL4645" s="226"/>
      <c r="AM4645" s="226"/>
    </row>
    <row r="4646" spans="1:39" x14ac:dyDescent="0.25">
      <c r="AA4646" s="237"/>
      <c r="AB4646" s="237"/>
      <c r="AC4646" s="237"/>
      <c r="AD4646" s="237"/>
      <c r="AE4646" s="237"/>
      <c r="AF4646" s="237"/>
      <c r="AG4646" s="237"/>
      <c r="AH4646" s="237"/>
      <c r="AJ4646" s="238"/>
    </row>
    <row r="4647" spans="1:39" ht="12.75" x14ac:dyDescent="0.2">
      <c r="AL4647" s="226"/>
      <c r="AM4647" s="226"/>
    </row>
    <row r="4648" spans="1:39" ht="12.75" x14ac:dyDescent="0.2">
      <c r="A4648" s="236"/>
      <c r="B4648" s="236"/>
      <c r="C4648" s="236"/>
      <c r="D4648" s="236"/>
      <c r="E4648" s="237"/>
      <c r="G4648" s="237"/>
      <c r="H4648" s="237"/>
      <c r="I4648" s="237"/>
      <c r="K4648" s="237"/>
      <c r="N4648" s="237"/>
      <c r="O4648" s="237"/>
      <c r="P4648" s="237"/>
      <c r="Q4648" s="237"/>
      <c r="AL4648" s="226"/>
      <c r="AM4648" s="226"/>
    </row>
    <row r="4649" spans="1:39" x14ac:dyDescent="0.25">
      <c r="AA4649" s="237"/>
      <c r="AB4649" s="237"/>
      <c r="AC4649" s="237"/>
      <c r="AD4649" s="237"/>
      <c r="AE4649" s="237"/>
      <c r="AF4649" s="237"/>
      <c r="AG4649" s="237"/>
      <c r="AH4649" s="237"/>
      <c r="AJ4649" s="238"/>
    </row>
    <row r="4650" spans="1:39" ht="12.75" x14ac:dyDescent="0.2">
      <c r="AL4650" s="226"/>
      <c r="AM4650" s="226"/>
    </row>
    <row r="4651" spans="1:39" ht="12.75" x14ac:dyDescent="0.2">
      <c r="A4651" s="236"/>
      <c r="B4651" s="236"/>
      <c r="C4651" s="236"/>
      <c r="D4651" s="236"/>
      <c r="E4651" s="237"/>
      <c r="G4651" s="237"/>
      <c r="H4651" s="237"/>
      <c r="I4651" s="237"/>
      <c r="K4651" s="237"/>
      <c r="N4651" s="237"/>
      <c r="O4651" s="237"/>
      <c r="P4651" s="237"/>
      <c r="Q4651" s="237"/>
      <c r="AL4651" s="226"/>
      <c r="AM4651" s="226"/>
    </row>
    <row r="4652" spans="1:39" x14ac:dyDescent="0.25">
      <c r="AA4652" s="237"/>
      <c r="AB4652" s="237"/>
      <c r="AC4652" s="237"/>
      <c r="AD4652" s="237"/>
      <c r="AE4652" s="237"/>
      <c r="AF4652" s="237"/>
      <c r="AG4652" s="237"/>
      <c r="AH4652" s="237"/>
      <c r="AJ4652" s="238"/>
    </row>
    <row r="4653" spans="1:39" x14ac:dyDescent="0.25">
      <c r="AA4653" s="237"/>
      <c r="AB4653" s="237"/>
      <c r="AC4653" s="237"/>
      <c r="AD4653" s="237"/>
      <c r="AE4653" s="237"/>
      <c r="AF4653" s="237"/>
      <c r="AG4653" s="237"/>
      <c r="AH4653" s="237"/>
      <c r="AJ4653" s="238"/>
    </row>
    <row r="4654" spans="1:39" x14ac:dyDescent="0.25">
      <c r="AA4654" s="237"/>
      <c r="AB4654" s="237"/>
      <c r="AC4654" s="237"/>
      <c r="AD4654" s="237"/>
      <c r="AE4654" s="237"/>
      <c r="AF4654" s="237"/>
      <c r="AG4654" s="237"/>
      <c r="AH4654" s="237"/>
      <c r="AJ4654" s="238"/>
    </row>
    <row r="4655" spans="1:39" ht="12.75" x14ac:dyDescent="0.2">
      <c r="AL4655" s="226"/>
      <c r="AM4655" s="226"/>
    </row>
    <row r="4656" spans="1:39" ht="12.75" x14ac:dyDescent="0.2">
      <c r="A4656" s="236"/>
      <c r="B4656" s="236"/>
      <c r="C4656" s="236"/>
      <c r="D4656" s="236"/>
      <c r="E4656" s="237"/>
      <c r="G4656" s="237"/>
      <c r="H4656" s="237"/>
      <c r="I4656" s="237"/>
      <c r="K4656" s="237"/>
      <c r="N4656" s="237"/>
      <c r="O4656" s="237"/>
      <c r="P4656" s="237"/>
      <c r="Q4656" s="237"/>
      <c r="AL4656" s="226"/>
      <c r="AM4656" s="226"/>
    </row>
    <row r="4657" spans="1:39" x14ac:dyDescent="0.25">
      <c r="AA4657" s="237"/>
      <c r="AB4657" s="237"/>
      <c r="AC4657" s="237"/>
      <c r="AD4657" s="237"/>
      <c r="AE4657" s="237"/>
      <c r="AF4657" s="237"/>
      <c r="AG4657" s="237"/>
      <c r="AH4657" s="237"/>
      <c r="AJ4657" s="238"/>
    </row>
    <row r="4658" spans="1:39" x14ac:dyDescent="0.25">
      <c r="AA4658" s="237"/>
      <c r="AB4658" s="237"/>
      <c r="AC4658" s="237"/>
      <c r="AD4658" s="237"/>
      <c r="AE4658" s="237"/>
      <c r="AF4658" s="237"/>
      <c r="AG4658" s="237"/>
      <c r="AH4658" s="237"/>
      <c r="AJ4658" s="238"/>
    </row>
    <row r="4659" spans="1:39" ht="12.75" x14ac:dyDescent="0.2">
      <c r="AL4659" s="226"/>
      <c r="AM4659" s="226"/>
    </row>
    <row r="4660" spans="1:39" ht="12.75" x14ac:dyDescent="0.2">
      <c r="A4660" s="236"/>
      <c r="B4660" s="236"/>
      <c r="C4660" s="236"/>
      <c r="D4660" s="236"/>
      <c r="E4660" s="237"/>
      <c r="G4660" s="237"/>
      <c r="H4660" s="237"/>
      <c r="I4660" s="237"/>
      <c r="K4660" s="237"/>
      <c r="N4660" s="237"/>
      <c r="O4660" s="237"/>
      <c r="P4660" s="237"/>
      <c r="Q4660" s="237"/>
      <c r="AL4660" s="226"/>
      <c r="AM4660" s="226"/>
    </row>
    <row r="4661" spans="1:39" x14ac:dyDescent="0.25">
      <c r="AA4661" s="237"/>
      <c r="AB4661" s="237"/>
      <c r="AC4661" s="237"/>
      <c r="AD4661" s="237"/>
      <c r="AE4661" s="237"/>
      <c r="AF4661" s="237"/>
      <c r="AG4661" s="237"/>
      <c r="AH4661" s="237"/>
      <c r="AJ4661" s="238"/>
    </row>
    <row r="4662" spans="1:39" x14ac:dyDescent="0.25">
      <c r="AA4662" s="237"/>
      <c r="AB4662" s="237"/>
      <c r="AC4662" s="237"/>
      <c r="AD4662" s="237"/>
      <c r="AE4662" s="237"/>
      <c r="AF4662" s="237"/>
      <c r="AG4662" s="237"/>
      <c r="AH4662" s="237"/>
      <c r="AJ4662" s="238"/>
    </row>
    <row r="4663" spans="1:39" x14ac:dyDescent="0.25">
      <c r="AA4663" s="237"/>
      <c r="AB4663" s="237"/>
      <c r="AC4663" s="237"/>
      <c r="AD4663" s="237"/>
      <c r="AE4663" s="237"/>
      <c r="AF4663" s="237"/>
      <c r="AG4663" s="237"/>
      <c r="AH4663" s="237"/>
      <c r="AJ4663" s="238"/>
    </row>
    <row r="4664" spans="1:39" ht="12.75" x14ac:dyDescent="0.2">
      <c r="AL4664" s="226"/>
      <c r="AM4664" s="226"/>
    </row>
    <row r="4665" spans="1:39" ht="12.75" x14ac:dyDescent="0.2">
      <c r="A4665" s="236"/>
      <c r="B4665" s="236"/>
      <c r="C4665" s="236"/>
      <c r="D4665" s="236"/>
      <c r="E4665" s="237"/>
      <c r="G4665" s="237"/>
      <c r="H4665" s="237"/>
      <c r="I4665" s="237"/>
      <c r="K4665" s="237"/>
      <c r="N4665" s="237"/>
      <c r="O4665" s="237"/>
      <c r="P4665" s="237"/>
      <c r="Q4665" s="237"/>
      <c r="AL4665" s="226"/>
      <c r="AM4665" s="226"/>
    </row>
    <row r="4666" spans="1:39" x14ac:dyDescent="0.25">
      <c r="AA4666" s="237"/>
      <c r="AB4666" s="237"/>
      <c r="AC4666" s="237"/>
      <c r="AD4666" s="237"/>
      <c r="AE4666" s="237"/>
      <c r="AF4666" s="237"/>
      <c r="AG4666" s="237"/>
      <c r="AH4666" s="237"/>
      <c r="AJ4666" s="238"/>
    </row>
    <row r="4667" spans="1:39" x14ac:dyDescent="0.25">
      <c r="AA4667" s="237"/>
      <c r="AB4667" s="237"/>
      <c r="AC4667" s="237"/>
      <c r="AD4667" s="237"/>
      <c r="AE4667" s="237"/>
      <c r="AF4667" s="237"/>
      <c r="AG4667" s="237"/>
      <c r="AH4667" s="237"/>
      <c r="AJ4667" s="238"/>
    </row>
    <row r="4668" spans="1:39" ht="12.75" x14ac:dyDescent="0.2">
      <c r="AL4668" s="226"/>
      <c r="AM4668" s="226"/>
    </row>
    <row r="4669" spans="1:39" ht="12.75" x14ac:dyDescent="0.2">
      <c r="A4669" s="236"/>
      <c r="B4669" s="236"/>
      <c r="C4669" s="236"/>
      <c r="D4669" s="236"/>
      <c r="E4669" s="237"/>
      <c r="G4669" s="237"/>
      <c r="H4669" s="237"/>
      <c r="I4669" s="237"/>
      <c r="K4669" s="237"/>
      <c r="N4669" s="237"/>
      <c r="O4669" s="237"/>
      <c r="P4669" s="237"/>
      <c r="Q4669" s="237"/>
      <c r="AL4669" s="226"/>
      <c r="AM4669" s="226"/>
    </row>
    <row r="4670" spans="1:39" x14ac:dyDescent="0.25">
      <c r="AA4670" s="237"/>
      <c r="AB4670" s="237"/>
      <c r="AC4670" s="237"/>
      <c r="AD4670" s="237"/>
      <c r="AE4670" s="237"/>
      <c r="AF4670" s="237"/>
      <c r="AG4670" s="237"/>
      <c r="AH4670" s="237"/>
      <c r="AJ4670" s="238"/>
    </row>
    <row r="4671" spans="1:39" x14ac:dyDescent="0.25">
      <c r="AA4671" s="237"/>
      <c r="AB4671" s="237"/>
      <c r="AC4671" s="237"/>
      <c r="AD4671" s="237"/>
      <c r="AE4671" s="237"/>
      <c r="AF4671" s="237"/>
      <c r="AG4671" s="237"/>
      <c r="AH4671" s="237"/>
      <c r="AJ4671" s="238"/>
    </row>
    <row r="4672" spans="1:39" ht="12.75" x14ac:dyDescent="0.2">
      <c r="AL4672" s="226"/>
      <c r="AM4672" s="226"/>
    </row>
    <row r="4673" spans="1:39" ht="12.75" x14ac:dyDescent="0.2">
      <c r="A4673" s="236"/>
      <c r="B4673" s="236"/>
      <c r="C4673" s="236"/>
      <c r="D4673" s="236"/>
      <c r="E4673" s="237"/>
      <c r="G4673" s="237"/>
      <c r="H4673" s="237"/>
      <c r="I4673" s="237"/>
      <c r="K4673" s="237"/>
      <c r="N4673" s="237"/>
      <c r="O4673" s="237"/>
      <c r="P4673" s="237"/>
      <c r="Q4673" s="237"/>
      <c r="AL4673" s="226"/>
      <c r="AM4673" s="226"/>
    </row>
    <row r="4674" spans="1:39" x14ac:dyDescent="0.25">
      <c r="AA4674" s="237"/>
      <c r="AB4674" s="237"/>
      <c r="AC4674" s="237"/>
      <c r="AD4674" s="237"/>
      <c r="AE4674" s="237"/>
      <c r="AF4674" s="237"/>
      <c r="AG4674" s="237"/>
      <c r="AH4674" s="237"/>
      <c r="AJ4674" s="238"/>
    </row>
    <row r="4675" spans="1:39" ht="12.75" x14ac:dyDescent="0.2">
      <c r="AL4675" s="226"/>
      <c r="AM4675" s="226"/>
    </row>
    <row r="4676" spans="1:39" ht="12.75" x14ac:dyDescent="0.2">
      <c r="A4676" s="236"/>
      <c r="B4676" s="236"/>
      <c r="C4676" s="236"/>
      <c r="D4676" s="236"/>
      <c r="E4676" s="237"/>
      <c r="G4676" s="237"/>
      <c r="H4676" s="237"/>
      <c r="I4676" s="237"/>
      <c r="K4676" s="237"/>
      <c r="N4676" s="237"/>
      <c r="O4676" s="237"/>
      <c r="P4676" s="237"/>
      <c r="Q4676" s="237"/>
      <c r="AL4676" s="226"/>
      <c r="AM4676" s="226"/>
    </row>
    <row r="4677" spans="1:39" x14ac:dyDescent="0.25">
      <c r="AA4677" s="237"/>
      <c r="AB4677" s="237"/>
      <c r="AC4677" s="237"/>
      <c r="AD4677" s="237"/>
      <c r="AE4677" s="237"/>
      <c r="AF4677" s="237"/>
      <c r="AG4677" s="237"/>
      <c r="AH4677" s="237"/>
      <c r="AJ4677" s="238"/>
    </row>
    <row r="4678" spans="1:39" x14ac:dyDescent="0.25">
      <c r="AA4678" s="237"/>
      <c r="AB4678" s="237"/>
      <c r="AC4678" s="237"/>
      <c r="AD4678" s="237"/>
      <c r="AE4678" s="237"/>
      <c r="AF4678" s="237"/>
      <c r="AG4678" s="237"/>
      <c r="AH4678" s="237"/>
      <c r="AJ4678" s="238"/>
    </row>
    <row r="4679" spans="1:39" ht="12.75" x14ac:dyDescent="0.2">
      <c r="AL4679" s="226"/>
      <c r="AM4679" s="226"/>
    </row>
    <row r="4680" spans="1:39" ht="12.75" x14ac:dyDescent="0.2">
      <c r="A4680" s="236"/>
      <c r="B4680" s="236"/>
      <c r="C4680" s="236"/>
      <c r="D4680" s="236"/>
      <c r="E4680" s="237"/>
      <c r="G4680" s="237"/>
      <c r="H4680" s="237"/>
      <c r="I4680" s="237"/>
      <c r="K4680" s="237"/>
      <c r="N4680" s="237"/>
      <c r="O4680" s="237"/>
      <c r="P4680" s="237"/>
      <c r="Q4680" s="237"/>
      <c r="AL4680" s="226"/>
      <c r="AM4680" s="226"/>
    </row>
    <row r="4681" spans="1:39" x14ac:dyDescent="0.25">
      <c r="AA4681" s="237"/>
      <c r="AB4681" s="237"/>
      <c r="AC4681" s="237"/>
      <c r="AD4681" s="237"/>
      <c r="AE4681" s="237"/>
      <c r="AF4681" s="237"/>
      <c r="AG4681" s="237"/>
      <c r="AH4681" s="237"/>
      <c r="AJ4681" s="238"/>
    </row>
    <row r="4682" spans="1:39" x14ac:dyDescent="0.25">
      <c r="AA4682" s="237"/>
      <c r="AB4682" s="237"/>
      <c r="AC4682" s="237"/>
      <c r="AD4682" s="237"/>
      <c r="AE4682" s="237"/>
      <c r="AF4682" s="237"/>
      <c r="AG4682" s="237"/>
      <c r="AH4682" s="237"/>
      <c r="AJ4682" s="238"/>
    </row>
    <row r="4683" spans="1:39" x14ac:dyDescent="0.25">
      <c r="AA4683" s="237"/>
      <c r="AB4683" s="237"/>
      <c r="AC4683" s="237"/>
      <c r="AD4683" s="237"/>
      <c r="AE4683" s="237"/>
      <c r="AF4683" s="237"/>
      <c r="AG4683" s="237"/>
      <c r="AH4683" s="237"/>
      <c r="AJ4683" s="238"/>
    </row>
    <row r="4684" spans="1:39" x14ac:dyDescent="0.25">
      <c r="AA4684" s="237"/>
      <c r="AB4684" s="237"/>
      <c r="AC4684" s="237"/>
      <c r="AD4684" s="237"/>
      <c r="AE4684" s="237"/>
      <c r="AF4684" s="237"/>
      <c r="AG4684" s="237"/>
      <c r="AH4684" s="237"/>
      <c r="AJ4684" s="238"/>
    </row>
    <row r="4685" spans="1:39" x14ac:dyDescent="0.25">
      <c r="AA4685" s="237"/>
      <c r="AB4685" s="237"/>
      <c r="AC4685" s="237"/>
      <c r="AD4685" s="237"/>
      <c r="AE4685" s="237"/>
      <c r="AF4685" s="237"/>
      <c r="AG4685" s="237"/>
      <c r="AH4685" s="237"/>
      <c r="AJ4685" s="238"/>
    </row>
    <row r="4686" spans="1:39" ht="12.75" x14ac:dyDescent="0.2">
      <c r="AL4686" s="226"/>
      <c r="AM4686" s="226"/>
    </row>
    <row r="4687" spans="1:39" ht="12.75" x14ac:dyDescent="0.2">
      <c r="A4687" s="236"/>
      <c r="B4687" s="236"/>
      <c r="C4687" s="236"/>
      <c r="D4687" s="236"/>
      <c r="E4687" s="237"/>
      <c r="G4687" s="237"/>
      <c r="H4687" s="237"/>
      <c r="I4687" s="237"/>
      <c r="K4687" s="237"/>
      <c r="N4687" s="237"/>
      <c r="O4687" s="237"/>
      <c r="P4687" s="237"/>
      <c r="Q4687" s="237"/>
      <c r="AL4687" s="226"/>
      <c r="AM4687" s="226"/>
    </row>
    <row r="4688" spans="1:39" x14ac:dyDescent="0.25">
      <c r="AA4688" s="237"/>
      <c r="AB4688" s="237"/>
      <c r="AC4688" s="237"/>
      <c r="AD4688" s="237"/>
      <c r="AE4688" s="237"/>
      <c r="AF4688" s="237"/>
      <c r="AG4688" s="237"/>
      <c r="AH4688" s="237"/>
      <c r="AJ4688" s="238"/>
    </row>
    <row r="4689" spans="1:39" x14ac:dyDescent="0.25">
      <c r="AA4689" s="237"/>
      <c r="AB4689" s="237"/>
      <c r="AC4689" s="237"/>
      <c r="AD4689" s="237"/>
      <c r="AE4689" s="237"/>
      <c r="AF4689" s="237"/>
      <c r="AG4689" s="237"/>
      <c r="AH4689" s="237"/>
      <c r="AJ4689" s="238"/>
    </row>
    <row r="4690" spans="1:39" x14ac:dyDescent="0.25">
      <c r="AA4690" s="237"/>
      <c r="AB4690" s="237"/>
      <c r="AC4690" s="237"/>
      <c r="AD4690" s="237"/>
      <c r="AE4690" s="237"/>
      <c r="AF4690" s="237"/>
      <c r="AG4690" s="237"/>
      <c r="AH4690" s="237"/>
      <c r="AJ4690" s="238"/>
    </row>
    <row r="4691" spans="1:39" x14ac:dyDescent="0.25">
      <c r="AA4691" s="237"/>
      <c r="AB4691" s="237"/>
      <c r="AC4691" s="237"/>
      <c r="AD4691" s="237"/>
      <c r="AE4691" s="237"/>
      <c r="AF4691" s="237"/>
      <c r="AG4691" s="237"/>
      <c r="AH4691" s="237"/>
      <c r="AJ4691" s="238"/>
    </row>
    <row r="4692" spans="1:39" ht="12.75" x14ac:dyDescent="0.2">
      <c r="AL4692" s="226"/>
      <c r="AM4692" s="226"/>
    </row>
    <row r="4693" spans="1:39" ht="12.75" x14ac:dyDescent="0.2">
      <c r="A4693" s="236"/>
      <c r="B4693" s="236"/>
      <c r="C4693" s="236"/>
      <c r="D4693" s="236"/>
      <c r="E4693" s="237"/>
      <c r="G4693" s="237"/>
      <c r="H4693" s="237"/>
      <c r="I4693" s="237"/>
      <c r="K4693" s="237"/>
      <c r="N4693" s="237"/>
      <c r="O4693" s="237"/>
      <c r="P4693" s="237"/>
      <c r="Q4693" s="237"/>
      <c r="AL4693" s="226"/>
      <c r="AM4693" s="226"/>
    </row>
    <row r="4694" spans="1:39" x14ac:dyDescent="0.25">
      <c r="AA4694" s="237"/>
      <c r="AB4694" s="237"/>
      <c r="AC4694" s="237"/>
      <c r="AD4694" s="237"/>
      <c r="AE4694" s="237"/>
      <c r="AF4694" s="237"/>
      <c r="AG4694" s="237"/>
      <c r="AH4694" s="237"/>
      <c r="AJ4694" s="238"/>
    </row>
    <row r="4695" spans="1:39" x14ac:dyDescent="0.25">
      <c r="AA4695" s="237"/>
      <c r="AB4695" s="237"/>
      <c r="AC4695" s="237"/>
      <c r="AD4695" s="237"/>
      <c r="AE4695" s="237"/>
      <c r="AF4695" s="237"/>
      <c r="AG4695" s="237"/>
      <c r="AH4695" s="237"/>
      <c r="AJ4695" s="238"/>
    </row>
    <row r="4696" spans="1:39" ht="12.75" x14ac:dyDescent="0.2">
      <c r="AL4696" s="226"/>
      <c r="AM4696" s="226"/>
    </row>
    <row r="4697" spans="1:39" ht="12.75" x14ac:dyDescent="0.2">
      <c r="A4697" s="236"/>
      <c r="B4697" s="236"/>
      <c r="C4697" s="236"/>
      <c r="D4697" s="236"/>
      <c r="E4697" s="237"/>
      <c r="G4697" s="237"/>
      <c r="H4697" s="237"/>
      <c r="I4697" s="237"/>
      <c r="K4697" s="237"/>
      <c r="N4697" s="237"/>
      <c r="O4697" s="237"/>
      <c r="P4697" s="237"/>
      <c r="Q4697" s="237"/>
      <c r="AL4697" s="226"/>
      <c r="AM4697" s="226"/>
    </row>
    <row r="4698" spans="1:39" x14ac:dyDescent="0.25">
      <c r="AA4698" s="237"/>
      <c r="AB4698" s="237"/>
      <c r="AC4698" s="237"/>
      <c r="AD4698" s="237"/>
      <c r="AE4698" s="237"/>
      <c r="AF4698" s="237"/>
      <c r="AG4698" s="237"/>
      <c r="AH4698" s="237"/>
      <c r="AJ4698" s="238"/>
    </row>
    <row r="4699" spans="1:39" x14ac:dyDescent="0.25">
      <c r="AA4699" s="237"/>
      <c r="AB4699" s="237"/>
      <c r="AC4699" s="237"/>
      <c r="AD4699" s="237"/>
      <c r="AE4699" s="237"/>
      <c r="AF4699" s="237"/>
      <c r="AG4699" s="237"/>
      <c r="AH4699" s="237"/>
      <c r="AJ4699" s="238"/>
    </row>
    <row r="4700" spans="1:39" ht="12.75" x14ac:dyDescent="0.2">
      <c r="AL4700" s="226"/>
      <c r="AM4700" s="226"/>
    </row>
    <row r="4701" spans="1:39" ht="12.75" x14ac:dyDescent="0.2">
      <c r="A4701" s="236"/>
      <c r="B4701" s="236"/>
      <c r="C4701" s="236"/>
      <c r="D4701" s="236"/>
      <c r="E4701" s="237"/>
      <c r="G4701" s="237"/>
      <c r="H4701" s="237"/>
      <c r="I4701" s="237"/>
      <c r="K4701" s="237"/>
      <c r="N4701" s="237"/>
      <c r="O4701" s="237"/>
      <c r="P4701" s="237"/>
      <c r="Q4701" s="237"/>
      <c r="AL4701" s="226"/>
      <c r="AM4701" s="226"/>
    </row>
    <row r="4702" spans="1:39" x14ac:dyDescent="0.25">
      <c r="AA4702" s="237"/>
      <c r="AB4702" s="237"/>
      <c r="AC4702" s="237"/>
      <c r="AD4702" s="237"/>
      <c r="AE4702" s="237"/>
      <c r="AF4702" s="237"/>
      <c r="AG4702" s="237"/>
      <c r="AH4702" s="237"/>
      <c r="AJ4702" s="238"/>
    </row>
    <row r="4703" spans="1:39" x14ac:dyDescent="0.25">
      <c r="AA4703" s="237"/>
      <c r="AB4703" s="237"/>
      <c r="AC4703" s="237"/>
      <c r="AD4703" s="237"/>
      <c r="AE4703" s="237"/>
      <c r="AF4703" s="237"/>
      <c r="AG4703" s="237"/>
      <c r="AH4703" s="237"/>
      <c r="AJ4703" s="238"/>
    </row>
    <row r="4704" spans="1:39" x14ac:dyDescent="0.25">
      <c r="AA4704" s="237"/>
      <c r="AB4704" s="237"/>
      <c r="AC4704" s="237"/>
      <c r="AD4704" s="237"/>
      <c r="AE4704" s="237"/>
      <c r="AF4704" s="237"/>
      <c r="AG4704" s="237"/>
      <c r="AH4704" s="237"/>
      <c r="AJ4704" s="238"/>
    </row>
    <row r="4705" spans="1:39" x14ac:dyDescent="0.25">
      <c r="AA4705" s="237"/>
      <c r="AB4705" s="237"/>
      <c r="AC4705" s="237"/>
      <c r="AD4705" s="237"/>
      <c r="AE4705" s="237"/>
      <c r="AF4705" s="237"/>
      <c r="AG4705" s="237"/>
      <c r="AH4705" s="237"/>
      <c r="AJ4705" s="238"/>
    </row>
    <row r="4706" spans="1:39" x14ac:dyDescent="0.25">
      <c r="AA4706" s="237"/>
      <c r="AB4706" s="237"/>
      <c r="AC4706" s="237"/>
      <c r="AD4706" s="237"/>
      <c r="AE4706" s="237"/>
      <c r="AF4706" s="237"/>
      <c r="AG4706" s="237"/>
      <c r="AH4706" s="237"/>
      <c r="AJ4706" s="238"/>
    </row>
    <row r="4707" spans="1:39" x14ac:dyDescent="0.25">
      <c r="AA4707" s="237"/>
      <c r="AB4707" s="237"/>
      <c r="AC4707" s="237"/>
      <c r="AD4707" s="237"/>
      <c r="AE4707" s="237"/>
      <c r="AF4707" s="237"/>
      <c r="AG4707" s="237"/>
      <c r="AH4707" s="237"/>
      <c r="AJ4707" s="238"/>
    </row>
    <row r="4708" spans="1:39" x14ac:dyDescent="0.25">
      <c r="AA4708" s="237"/>
      <c r="AB4708" s="237"/>
      <c r="AC4708" s="237"/>
      <c r="AD4708" s="237"/>
      <c r="AE4708" s="237"/>
      <c r="AF4708" s="237"/>
      <c r="AG4708" s="237"/>
      <c r="AH4708" s="237"/>
      <c r="AJ4708" s="238"/>
    </row>
    <row r="4709" spans="1:39" x14ac:dyDescent="0.25">
      <c r="AA4709" s="237"/>
      <c r="AB4709" s="237"/>
      <c r="AC4709" s="237"/>
      <c r="AD4709" s="237"/>
      <c r="AE4709" s="237"/>
      <c r="AF4709" s="237"/>
      <c r="AG4709" s="237"/>
      <c r="AH4709" s="237"/>
      <c r="AJ4709" s="238"/>
    </row>
    <row r="4710" spans="1:39" x14ac:dyDescent="0.25">
      <c r="AA4710" s="237"/>
      <c r="AB4710" s="237"/>
      <c r="AC4710" s="237"/>
      <c r="AD4710" s="237"/>
      <c r="AE4710" s="237"/>
      <c r="AF4710" s="237"/>
      <c r="AG4710" s="237"/>
      <c r="AH4710" s="237"/>
      <c r="AJ4710" s="238"/>
    </row>
    <row r="4711" spans="1:39" x14ac:dyDescent="0.25">
      <c r="AA4711" s="237"/>
      <c r="AB4711" s="237"/>
      <c r="AC4711" s="237"/>
      <c r="AD4711" s="237"/>
      <c r="AE4711" s="237"/>
      <c r="AF4711" s="237"/>
      <c r="AG4711" s="237"/>
      <c r="AH4711" s="237"/>
      <c r="AJ4711" s="238"/>
    </row>
    <row r="4712" spans="1:39" x14ac:dyDescent="0.25">
      <c r="AA4712" s="237"/>
      <c r="AB4712" s="237"/>
      <c r="AC4712" s="237"/>
      <c r="AD4712" s="237"/>
      <c r="AE4712" s="237"/>
      <c r="AF4712" s="237"/>
      <c r="AG4712" s="237"/>
      <c r="AH4712" s="237"/>
      <c r="AJ4712" s="238"/>
    </row>
    <row r="4713" spans="1:39" x14ac:dyDescent="0.25">
      <c r="AA4713" s="237"/>
      <c r="AB4713" s="237"/>
      <c r="AC4713" s="237"/>
      <c r="AD4713" s="237"/>
      <c r="AE4713" s="237"/>
      <c r="AF4713" s="237"/>
      <c r="AG4713" s="237"/>
      <c r="AH4713" s="237"/>
      <c r="AJ4713" s="238"/>
    </row>
    <row r="4714" spans="1:39" ht="12.75" x14ac:dyDescent="0.2">
      <c r="AL4714" s="226"/>
      <c r="AM4714" s="226"/>
    </row>
    <row r="4715" spans="1:39" ht="12.75" x14ac:dyDescent="0.2">
      <c r="A4715" s="236"/>
      <c r="B4715" s="236"/>
      <c r="C4715" s="236"/>
      <c r="D4715" s="236"/>
      <c r="E4715" s="237"/>
      <c r="G4715" s="237"/>
      <c r="H4715" s="237"/>
      <c r="I4715" s="237"/>
      <c r="K4715" s="237"/>
      <c r="N4715" s="237"/>
      <c r="O4715" s="237"/>
      <c r="P4715" s="237"/>
      <c r="Q4715" s="237"/>
      <c r="AL4715" s="226"/>
      <c r="AM4715" s="226"/>
    </row>
    <row r="4716" spans="1:39" x14ac:dyDescent="0.25">
      <c r="AA4716" s="237"/>
      <c r="AB4716" s="237"/>
      <c r="AC4716" s="237"/>
      <c r="AD4716" s="237"/>
      <c r="AE4716" s="237"/>
      <c r="AF4716" s="237"/>
      <c r="AG4716" s="237"/>
      <c r="AH4716" s="237"/>
      <c r="AJ4716" s="238"/>
    </row>
    <row r="4717" spans="1:39" x14ac:dyDescent="0.25">
      <c r="AA4717" s="237"/>
      <c r="AB4717" s="237"/>
      <c r="AC4717" s="237"/>
      <c r="AD4717" s="237"/>
      <c r="AE4717" s="237"/>
      <c r="AF4717" s="237"/>
      <c r="AG4717" s="237"/>
      <c r="AH4717" s="237"/>
      <c r="AJ4717" s="238"/>
    </row>
    <row r="4718" spans="1:39" x14ac:dyDescent="0.25">
      <c r="AA4718" s="237"/>
      <c r="AB4718" s="237"/>
      <c r="AC4718" s="237"/>
      <c r="AD4718" s="237"/>
      <c r="AE4718" s="237"/>
      <c r="AF4718" s="237"/>
      <c r="AG4718" s="237"/>
      <c r="AH4718" s="237"/>
      <c r="AJ4718" s="238"/>
    </row>
    <row r="4719" spans="1:39" x14ac:dyDescent="0.25">
      <c r="AA4719" s="237"/>
      <c r="AB4719" s="237"/>
      <c r="AC4719" s="237"/>
      <c r="AD4719" s="237"/>
      <c r="AE4719" s="237"/>
      <c r="AF4719" s="237"/>
      <c r="AG4719" s="237"/>
      <c r="AH4719" s="237"/>
      <c r="AJ4719" s="238"/>
    </row>
    <row r="4720" spans="1:39" x14ac:dyDescent="0.25">
      <c r="AA4720" s="237"/>
      <c r="AB4720" s="237"/>
      <c r="AC4720" s="237"/>
      <c r="AD4720" s="237"/>
      <c r="AE4720" s="237"/>
      <c r="AF4720" s="237"/>
      <c r="AG4720" s="237"/>
      <c r="AH4720" s="237"/>
      <c r="AJ4720" s="238"/>
    </row>
    <row r="4721" spans="1:39" x14ac:dyDescent="0.25">
      <c r="AA4721" s="237"/>
      <c r="AB4721" s="237"/>
      <c r="AC4721" s="237"/>
      <c r="AD4721" s="237"/>
      <c r="AE4721" s="237"/>
      <c r="AF4721" s="237"/>
      <c r="AG4721" s="237"/>
      <c r="AH4721" s="237"/>
      <c r="AJ4721" s="238"/>
    </row>
    <row r="4722" spans="1:39" ht="12.75" x14ac:dyDescent="0.2">
      <c r="AL4722" s="226"/>
      <c r="AM4722" s="226"/>
    </row>
    <row r="4723" spans="1:39" ht="12.75" x14ac:dyDescent="0.2">
      <c r="A4723" s="236"/>
      <c r="B4723" s="236"/>
      <c r="C4723" s="236"/>
      <c r="D4723" s="236"/>
      <c r="E4723" s="237"/>
      <c r="G4723" s="237"/>
      <c r="H4723" s="237"/>
      <c r="I4723" s="237"/>
      <c r="K4723" s="237"/>
      <c r="N4723" s="237"/>
      <c r="O4723" s="237"/>
      <c r="P4723" s="237"/>
      <c r="Q4723" s="237"/>
      <c r="AL4723" s="226"/>
      <c r="AM4723" s="226"/>
    </row>
    <row r="4724" spans="1:39" x14ac:dyDescent="0.25">
      <c r="AA4724" s="237"/>
      <c r="AB4724" s="237"/>
      <c r="AC4724" s="237"/>
      <c r="AD4724" s="237"/>
      <c r="AE4724" s="237"/>
      <c r="AF4724" s="237"/>
      <c r="AG4724" s="237"/>
      <c r="AH4724" s="237"/>
      <c r="AJ4724" s="238"/>
    </row>
    <row r="4725" spans="1:39" x14ac:dyDescent="0.25">
      <c r="AA4725" s="237"/>
      <c r="AB4725" s="237"/>
      <c r="AC4725" s="237"/>
      <c r="AD4725" s="237"/>
      <c r="AE4725" s="237"/>
      <c r="AF4725" s="237"/>
      <c r="AG4725" s="237"/>
      <c r="AH4725" s="237"/>
      <c r="AJ4725" s="238"/>
    </row>
    <row r="4726" spans="1:39" x14ac:dyDescent="0.25">
      <c r="AA4726" s="237"/>
      <c r="AB4726" s="237"/>
      <c r="AC4726" s="237"/>
      <c r="AD4726" s="237"/>
      <c r="AE4726" s="237"/>
      <c r="AF4726" s="237"/>
      <c r="AG4726" s="237"/>
      <c r="AH4726" s="237"/>
      <c r="AJ4726" s="238"/>
    </row>
    <row r="4727" spans="1:39" ht="12.75" x14ac:dyDescent="0.2">
      <c r="AL4727" s="226"/>
      <c r="AM4727" s="226"/>
    </row>
    <row r="4728" spans="1:39" ht="12.75" x14ac:dyDescent="0.2">
      <c r="A4728" s="236"/>
      <c r="B4728" s="236"/>
      <c r="C4728" s="236"/>
      <c r="D4728" s="236"/>
      <c r="E4728" s="237"/>
      <c r="G4728" s="237"/>
      <c r="H4728" s="237"/>
      <c r="I4728" s="237"/>
      <c r="K4728" s="237"/>
      <c r="N4728" s="237"/>
      <c r="O4728" s="237"/>
      <c r="P4728" s="237"/>
      <c r="Q4728" s="237"/>
      <c r="AL4728" s="226"/>
      <c r="AM4728" s="226"/>
    </row>
    <row r="4729" spans="1:39" x14ac:dyDescent="0.25">
      <c r="AA4729" s="237"/>
      <c r="AB4729" s="237"/>
      <c r="AC4729" s="237"/>
      <c r="AD4729" s="237"/>
      <c r="AE4729" s="237"/>
      <c r="AF4729" s="237"/>
      <c r="AG4729" s="237"/>
      <c r="AH4729" s="237"/>
      <c r="AJ4729" s="238"/>
    </row>
    <row r="4730" spans="1:39" ht="12.75" x14ac:dyDescent="0.2">
      <c r="AL4730" s="226"/>
      <c r="AM4730" s="226"/>
    </row>
    <row r="4731" spans="1:39" ht="12.75" x14ac:dyDescent="0.2">
      <c r="A4731" s="236"/>
      <c r="B4731" s="236"/>
      <c r="C4731" s="236"/>
      <c r="D4731" s="236"/>
      <c r="E4731" s="237"/>
      <c r="G4731" s="237"/>
      <c r="H4731" s="237"/>
      <c r="I4731" s="237"/>
      <c r="K4731" s="237"/>
      <c r="N4731" s="237"/>
      <c r="O4731" s="237"/>
      <c r="P4731" s="237"/>
      <c r="Q4731" s="237"/>
      <c r="AL4731" s="226"/>
      <c r="AM4731" s="226"/>
    </row>
    <row r="4732" spans="1:39" x14ac:dyDescent="0.25">
      <c r="AA4732" s="237"/>
      <c r="AB4732" s="237"/>
      <c r="AC4732" s="237"/>
      <c r="AD4732" s="237"/>
      <c r="AE4732" s="237"/>
      <c r="AF4732" s="237"/>
      <c r="AG4732" s="237"/>
      <c r="AH4732" s="237"/>
      <c r="AJ4732" s="238"/>
    </row>
    <row r="4733" spans="1:39" x14ac:dyDescent="0.25">
      <c r="AA4733" s="237"/>
      <c r="AB4733" s="237"/>
      <c r="AC4733" s="237"/>
      <c r="AD4733" s="237"/>
      <c r="AE4733" s="237"/>
      <c r="AF4733" s="237"/>
      <c r="AG4733" s="237"/>
      <c r="AH4733" s="237"/>
      <c r="AJ4733" s="238"/>
    </row>
    <row r="4734" spans="1:39" x14ac:dyDescent="0.25">
      <c r="AA4734" s="237"/>
      <c r="AB4734" s="237"/>
      <c r="AC4734" s="237"/>
      <c r="AD4734" s="237"/>
      <c r="AE4734" s="237"/>
      <c r="AF4734" s="237"/>
      <c r="AG4734" s="237"/>
      <c r="AH4734" s="237"/>
      <c r="AJ4734" s="238"/>
    </row>
    <row r="4735" spans="1:39" x14ac:dyDescent="0.25">
      <c r="AA4735" s="237"/>
      <c r="AB4735" s="237"/>
      <c r="AC4735" s="237"/>
      <c r="AD4735" s="237"/>
      <c r="AE4735" s="237"/>
      <c r="AF4735" s="237"/>
      <c r="AG4735" s="237"/>
      <c r="AH4735" s="237"/>
      <c r="AJ4735" s="238"/>
    </row>
    <row r="4736" spans="1:39" x14ac:dyDescent="0.25">
      <c r="AA4736" s="237"/>
      <c r="AB4736" s="237"/>
      <c r="AC4736" s="237"/>
      <c r="AD4736" s="237"/>
      <c r="AE4736" s="237"/>
      <c r="AF4736" s="237"/>
      <c r="AG4736" s="237"/>
      <c r="AH4736" s="237"/>
      <c r="AJ4736" s="238"/>
    </row>
    <row r="4737" spans="1:39" x14ac:dyDescent="0.25">
      <c r="AA4737" s="237"/>
      <c r="AB4737" s="237"/>
      <c r="AC4737" s="237"/>
      <c r="AD4737" s="237"/>
      <c r="AE4737" s="237"/>
      <c r="AF4737" s="237"/>
      <c r="AG4737" s="237"/>
      <c r="AH4737" s="237"/>
      <c r="AJ4737" s="238"/>
    </row>
    <row r="4738" spans="1:39" ht="12.75" x14ac:dyDescent="0.2">
      <c r="AL4738" s="226"/>
      <c r="AM4738" s="226"/>
    </row>
    <row r="4739" spans="1:39" ht="12.75" x14ac:dyDescent="0.2">
      <c r="A4739" s="236"/>
      <c r="B4739" s="236"/>
      <c r="C4739" s="236"/>
      <c r="D4739" s="236"/>
      <c r="E4739" s="237"/>
      <c r="G4739" s="237"/>
      <c r="H4739" s="237"/>
      <c r="I4739" s="237"/>
      <c r="K4739" s="237"/>
      <c r="N4739" s="237"/>
      <c r="O4739" s="237"/>
      <c r="P4739" s="237"/>
      <c r="Q4739" s="237"/>
      <c r="AL4739" s="226"/>
      <c r="AM4739" s="226"/>
    </row>
    <row r="4740" spans="1:39" x14ac:dyDescent="0.25">
      <c r="AA4740" s="237"/>
      <c r="AB4740" s="237"/>
      <c r="AC4740" s="237"/>
      <c r="AD4740" s="237"/>
      <c r="AE4740" s="237"/>
      <c r="AF4740" s="237"/>
      <c r="AG4740" s="237"/>
      <c r="AH4740" s="237"/>
      <c r="AJ4740" s="238"/>
    </row>
    <row r="4741" spans="1:39" ht="12.75" x14ac:dyDescent="0.2">
      <c r="AL4741" s="226"/>
      <c r="AM4741" s="226"/>
    </row>
    <row r="4742" spans="1:39" ht="12.75" x14ac:dyDescent="0.2">
      <c r="A4742" s="236"/>
      <c r="B4742" s="236"/>
      <c r="C4742" s="236"/>
      <c r="D4742" s="236"/>
      <c r="E4742" s="237"/>
      <c r="G4742" s="237"/>
      <c r="H4742" s="237"/>
      <c r="I4742" s="237"/>
      <c r="K4742" s="237"/>
      <c r="N4742" s="237"/>
      <c r="O4742" s="237"/>
      <c r="P4742" s="237"/>
      <c r="Q4742" s="237"/>
      <c r="AL4742" s="226"/>
      <c r="AM4742" s="226"/>
    </row>
    <row r="4743" spans="1:39" x14ac:dyDescent="0.25">
      <c r="AA4743" s="237"/>
      <c r="AB4743" s="237"/>
      <c r="AC4743" s="237"/>
      <c r="AD4743" s="237"/>
      <c r="AE4743" s="237"/>
      <c r="AF4743" s="237"/>
      <c r="AG4743" s="237"/>
      <c r="AH4743" s="237"/>
      <c r="AJ4743" s="238"/>
    </row>
    <row r="4744" spans="1:39" x14ac:dyDescent="0.25">
      <c r="AA4744" s="237"/>
      <c r="AB4744" s="237"/>
      <c r="AC4744" s="237"/>
      <c r="AD4744" s="237"/>
      <c r="AE4744" s="237"/>
      <c r="AF4744" s="237"/>
      <c r="AG4744" s="237"/>
      <c r="AH4744" s="237"/>
      <c r="AJ4744" s="238"/>
    </row>
    <row r="4745" spans="1:39" ht="12.75" x14ac:dyDescent="0.2">
      <c r="AL4745" s="226"/>
      <c r="AM4745" s="226"/>
    </row>
    <row r="4746" spans="1:39" ht="12.75" x14ac:dyDescent="0.2">
      <c r="A4746" s="236"/>
      <c r="B4746" s="236"/>
      <c r="C4746" s="236"/>
      <c r="D4746" s="236"/>
      <c r="E4746" s="237"/>
      <c r="G4746" s="237"/>
      <c r="H4746" s="237"/>
      <c r="I4746" s="237"/>
      <c r="K4746" s="237"/>
      <c r="N4746" s="237"/>
      <c r="O4746" s="237"/>
      <c r="P4746" s="237"/>
      <c r="Q4746" s="237"/>
      <c r="AL4746" s="226"/>
      <c r="AM4746" s="226"/>
    </row>
    <row r="4747" spans="1:39" x14ac:dyDescent="0.25">
      <c r="AA4747" s="237"/>
      <c r="AB4747" s="237"/>
      <c r="AC4747" s="237"/>
      <c r="AD4747" s="237"/>
      <c r="AE4747" s="237"/>
      <c r="AF4747" s="237"/>
      <c r="AG4747" s="237"/>
      <c r="AH4747" s="237"/>
      <c r="AJ4747" s="238"/>
    </row>
    <row r="4748" spans="1:39" ht="12.75" x14ac:dyDescent="0.2">
      <c r="AL4748" s="226"/>
      <c r="AM4748" s="226"/>
    </row>
    <row r="4749" spans="1:39" ht="12.75" x14ac:dyDescent="0.2">
      <c r="A4749" s="236"/>
      <c r="B4749" s="236"/>
      <c r="C4749" s="236"/>
      <c r="D4749" s="236"/>
      <c r="E4749" s="237"/>
      <c r="G4749" s="237"/>
      <c r="H4749" s="237"/>
      <c r="I4749" s="237"/>
      <c r="K4749" s="237"/>
      <c r="N4749" s="237"/>
      <c r="O4749" s="237"/>
      <c r="P4749" s="237"/>
      <c r="Q4749" s="237"/>
      <c r="AL4749" s="226"/>
      <c r="AM4749" s="226"/>
    </row>
    <row r="4750" spans="1:39" x14ac:dyDescent="0.25">
      <c r="AA4750" s="237"/>
      <c r="AB4750" s="237"/>
      <c r="AC4750" s="237"/>
      <c r="AD4750" s="237"/>
      <c r="AE4750" s="237"/>
      <c r="AF4750" s="237"/>
      <c r="AG4750" s="237"/>
      <c r="AH4750" s="237"/>
      <c r="AJ4750" s="238"/>
    </row>
    <row r="4751" spans="1:39" x14ac:dyDescent="0.25">
      <c r="AA4751" s="237"/>
      <c r="AB4751" s="237"/>
      <c r="AC4751" s="237"/>
      <c r="AD4751" s="237"/>
      <c r="AE4751" s="237"/>
      <c r="AF4751" s="237"/>
      <c r="AG4751" s="237"/>
      <c r="AH4751" s="237"/>
      <c r="AJ4751" s="238"/>
    </row>
    <row r="4752" spans="1:39" ht="12.75" x14ac:dyDescent="0.2">
      <c r="AL4752" s="226"/>
      <c r="AM4752" s="226"/>
    </row>
    <row r="4753" spans="1:39" ht="12.75" x14ac:dyDescent="0.2">
      <c r="A4753" s="236"/>
      <c r="B4753" s="236"/>
      <c r="C4753" s="236"/>
      <c r="D4753" s="236"/>
      <c r="E4753" s="237"/>
      <c r="G4753" s="237"/>
      <c r="H4753" s="237"/>
      <c r="I4753" s="237"/>
      <c r="K4753" s="237"/>
      <c r="N4753" s="237"/>
      <c r="O4753" s="237"/>
      <c r="P4753" s="237"/>
      <c r="Q4753" s="237"/>
      <c r="AL4753" s="226"/>
      <c r="AM4753" s="226"/>
    </row>
    <row r="4754" spans="1:39" x14ac:dyDescent="0.25">
      <c r="AA4754" s="237"/>
      <c r="AB4754" s="237"/>
      <c r="AC4754" s="237"/>
      <c r="AD4754" s="237"/>
      <c r="AE4754" s="237"/>
      <c r="AF4754" s="237"/>
      <c r="AG4754" s="237"/>
      <c r="AH4754" s="237"/>
      <c r="AJ4754" s="238"/>
    </row>
    <row r="4755" spans="1:39" ht="12.75" x14ac:dyDescent="0.2">
      <c r="AL4755" s="226"/>
      <c r="AM4755" s="226"/>
    </row>
    <row r="4756" spans="1:39" ht="12.75" x14ac:dyDescent="0.2">
      <c r="A4756" s="236"/>
      <c r="B4756" s="236"/>
      <c r="C4756" s="236"/>
      <c r="D4756" s="236"/>
      <c r="E4756" s="237"/>
      <c r="G4756" s="237"/>
      <c r="H4756" s="237"/>
      <c r="I4756" s="237"/>
      <c r="K4756" s="237"/>
      <c r="N4756" s="237"/>
      <c r="O4756" s="237"/>
      <c r="P4756" s="237"/>
      <c r="Q4756" s="237"/>
      <c r="AL4756" s="226"/>
      <c r="AM4756" s="226"/>
    </row>
    <row r="4757" spans="1:39" x14ac:dyDescent="0.25">
      <c r="AA4757" s="237"/>
      <c r="AB4757" s="237"/>
      <c r="AC4757" s="237"/>
      <c r="AD4757" s="237"/>
      <c r="AE4757" s="237"/>
      <c r="AF4757" s="237"/>
      <c r="AG4757" s="237"/>
      <c r="AH4757" s="237"/>
      <c r="AJ4757" s="238"/>
    </row>
    <row r="4758" spans="1:39" ht="12.75" x14ac:dyDescent="0.2">
      <c r="AL4758" s="226"/>
      <c r="AM4758" s="226"/>
    </row>
    <row r="4759" spans="1:39" ht="12.75" x14ac:dyDescent="0.2">
      <c r="A4759" s="236"/>
      <c r="B4759" s="236"/>
      <c r="C4759" s="236"/>
      <c r="D4759" s="236"/>
      <c r="E4759" s="237"/>
      <c r="G4759" s="237"/>
      <c r="H4759" s="237"/>
      <c r="I4759" s="237"/>
      <c r="K4759" s="237"/>
      <c r="N4759" s="237"/>
      <c r="O4759" s="237"/>
      <c r="P4759" s="237"/>
      <c r="Q4759" s="237"/>
      <c r="AL4759" s="226"/>
      <c r="AM4759" s="226"/>
    </row>
    <row r="4760" spans="1:39" x14ac:dyDescent="0.25">
      <c r="AA4760" s="237"/>
      <c r="AB4760" s="237"/>
      <c r="AC4760" s="237"/>
      <c r="AD4760" s="237"/>
      <c r="AE4760" s="237"/>
      <c r="AF4760" s="237"/>
      <c r="AG4760" s="237"/>
      <c r="AH4760" s="237"/>
      <c r="AJ4760" s="238"/>
    </row>
    <row r="4761" spans="1:39" ht="12.75" x14ac:dyDescent="0.2">
      <c r="AL4761" s="226"/>
      <c r="AM4761" s="226"/>
    </row>
    <row r="4762" spans="1:39" ht="12.75" x14ac:dyDescent="0.2">
      <c r="A4762" s="236"/>
      <c r="B4762" s="236"/>
      <c r="C4762" s="236"/>
      <c r="D4762" s="236"/>
      <c r="E4762" s="237"/>
      <c r="G4762" s="237"/>
      <c r="H4762" s="237"/>
      <c r="I4762" s="237"/>
      <c r="K4762" s="237"/>
      <c r="N4762" s="237"/>
      <c r="O4762" s="237"/>
      <c r="P4762" s="237"/>
      <c r="Q4762" s="237"/>
      <c r="AL4762" s="226"/>
      <c r="AM4762" s="226"/>
    </row>
    <row r="4763" spans="1:39" x14ac:dyDescent="0.25">
      <c r="AA4763" s="237"/>
      <c r="AB4763" s="237"/>
      <c r="AC4763" s="237"/>
      <c r="AD4763" s="237"/>
      <c r="AE4763" s="237"/>
      <c r="AF4763" s="237"/>
      <c r="AG4763" s="237"/>
      <c r="AH4763" s="237"/>
      <c r="AJ4763" s="238"/>
    </row>
    <row r="4764" spans="1:39" ht="12.75" x14ac:dyDescent="0.2">
      <c r="AL4764" s="226"/>
      <c r="AM4764" s="226"/>
    </row>
    <row r="4765" spans="1:39" ht="12.75" x14ac:dyDescent="0.2">
      <c r="A4765" s="236"/>
      <c r="B4765" s="236"/>
      <c r="C4765" s="236"/>
      <c r="D4765" s="236"/>
      <c r="E4765" s="237"/>
      <c r="G4765" s="237"/>
      <c r="H4765" s="237"/>
      <c r="I4765" s="237"/>
      <c r="K4765" s="237"/>
      <c r="N4765" s="237"/>
      <c r="O4765" s="237"/>
      <c r="P4765" s="237"/>
      <c r="Q4765" s="237"/>
      <c r="AL4765" s="226"/>
      <c r="AM4765" s="226"/>
    </row>
    <row r="4766" spans="1:39" x14ac:dyDescent="0.25">
      <c r="AA4766" s="237"/>
      <c r="AB4766" s="237"/>
      <c r="AC4766" s="237"/>
      <c r="AD4766" s="237"/>
      <c r="AE4766" s="237"/>
      <c r="AF4766" s="237"/>
      <c r="AG4766" s="237"/>
      <c r="AH4766" s="237"/>
      <c r="AJ4766" s="238"/>
    </row>
    <row r="4767" spans="1:39" ht="12.75" x14ac:dyDescent="0.2">
      <c r="AL4767" s="226"/>
      <c r="AM4767" s="226"/>
    </row>
    <row r="4768" spans="1:39" ht="12.75" x14ac:dyDescent="0.2">
      <c r="A4768" s="236"/>
      <c r="B4768" s="236"/>
      <c r="C4768" s="236"/>
      <c r="D4768" s="236"/>
      <c r="E4768" s="237"/>
      <c r="G4768" s="237"/>
      <c r="H4768" s="237"/>
      <c r="I4768" s="237"/>
      <c r="K4768" s="237"/>
      <c r="N4768" s="237"/>
      <c r="O4768" s="237"/>
      <c r="P4768" s="237"/>
      <c r="Q4768" s="237"/>
      <c r="AL4768" s="226"/>
      <c r="AM4768" s="226"/>
    </row>
    <row r="4769" spans="1:39" x14ac:dyDescent="0.25">
      <c r="AA4769" s="237"/>
      <c r="AB4769" s="237"/>
      <c r="AC4769" s="237"/>
      <c r="AD4769" s="237"/>
      <c r="AE4769" s="237"/>
      <c r="AF4769" s="237"/>
      <c r="AG4769" s="237"/>
      <c r="AH4769" s="237"/>
      <c r="AJ4769" s="238"/>
    </row>
    <row r="4770" spans="1:39" x14ac:dyDescent="0.25">
      <c r="AA4770" s="237"/>
      <c r="AB4770" s="237"/>
      <c r="AC4770" s="237"/>
      <c r="AD4770" s="237"/>
      <c r="AE4770" s="237"/>
      <c r="AF4770" s="237"/>
      <c r="AG4770" s="237"/>
      <c r="AH4770" s="237"/>
      <c r="AJ4770" s="238"/>
    </row>
    <row r="4771" spans="1:39" x14ac:dyDescent="0.25">
      <c r="AA4771" s="237"/>
      <c r="AB4771" s="237"/>
      <c r="AC4771" s="237"/>
      <c r="AD4771" s="237"/>
      <c r="AE4771" s="237"/>
      <c r="AF4771" s="237"/>
      <c r="AG4771" s="237"/>
      <c r="AH4771" s="237"/>
      <c r="AJ4771" s="238"/>
    </row>
    <row r="4772" spans="1:39" x14ac:dyDescent="0.25">
      <c r="AA4772" s="237"/>
      <c r="AB4772" s="237"/>
      <c r="AC4772" s="237"/>
      <c r="AD4772" s="237"/>
      <c r="AE4772" s="237"/>
      <c r="AF4772" s="237"/>
      <c r="AG4772" s="237"/>
      <c r="AH4772" s="237"/>
      <c r="AJ4772" s="238"/>
    </row>
    <row r="4773" spans="1:39" x14ac:dyDescent="0.25">
      <c r="AA4773" s="237"/>
      <c r="AB4773" s="237"/>
      <c r="AC4773" s="237"/>
      <c r="AD4773" s="237"/>
      <c r="AE4773" s="237"/>
      <c r="AF4773" s="237"/>
      <c r="AG4773" s="237"/>
      <c r="AH4773" s="237"/>
      <c r="AJ4773" s="238"/>
    </row>
    <row r="4774" spans="1:39" x14ac:dyDescent="0.25">
      <c r="AA4774" s="237"/>
      <c r="AB4774" s="237"/>
      <c r="AC4774" s="237"/>
      <c r="AD4774" s="237"/>
      <c r="AE4774" s="237"/>
      <c r="AF4774" s="237"/>
      <c r="AG4774" s="237"/>
      <c r="AH4774" s="237"/>
      <c r="AJ4774" s="238"/>
    </row>
    <row r="4775" spans="1:39" x14ac:dyDescent="0.25">
      <c r="AA4775" s="237"/>
      <c r="AB4775" s="237"/>
      <c r="AC4775" s="237"/>
      <c r="AD4775" s="237"/>
      <c r="AE4775" s="237"/>
      <c r="AF4775" s="237"/>
      <c r="AG4775" s="237"/>
      <c r="AH4775" s="237"/>
      <c r="AJ4775" s="238"/>
    </row>
    <row r="4776" spans="1:39" x14ac:dyDescent="0.25">
      <c r="AA4776" s="237"/>
      <c r="AB4776" s="237"/>
      <c r="AC4776" s="237"/>
      <c r="AD4776" s="237"/>
      <c r="AE4776" s="237"/>
      <c r="AF4776" s="237"/>
      <c r="AG4776" s="237"/>
      <c r="AH4776" s="237"/>
      <c r="AJ4776" s="238"/>
    </row>
    <row r="4777" spans="1:39" x14ac:dyDescent="0.25">
      <c r="AA4777" s="237"/>
      <c r="AB4777" s="237"/>
      <c r="AC4777" s="237"/>
      <c r="AD4777" s="237"/>
      <c r="AE4777" s="237"/>
      <c r="AF4777" s="237"/>
      <c r="AG4777" s="237"/>
      <c r="AH4777" s="237"/>
      <c r="AJ4777" s="238"/>
    </row>
    <row r="4778" spans="1:39" x14ac:dyDescent="0.25">
      <c r="AA4778" s="237"/>
      <c r="AB4778" s="237"/>
      <c r="AC4778" s="237"/>
      <c r="AD4778" s="237"/>
      <c r="AE4778" s="237"/>
      <c r="AF4778" s="237"/>
      <c r="AG4778" s="237"/>
      <c r="AH4778" s="237"/>
      <c r="AJ4778" s="238"/>
    </row>
    <row r="4779" spans="1:39" ht="12.75" x14ac:dyDescent="0.2">
      <c r="AL4779" s="226"/>
      <c r="AM4779" s="226"/>
    </row>
    <row r="4780" spans="1:39" ht="12.75" x14ac:dyDescent="0.2">
      <c r="A4780" s="236"/>
      <c r="B4780" s="236"/>
      <c r="C4780" s="236"/>
      <c r="D4780" s="236"/>
      <c r="E4780" s="237"/>
      <c r="G4780" s="237"/>
      <c r="H4780" s="237"/>
      <c r="I4780" s="237"/>
      <c r="K4780" s="237"/>
      <c r="N4780" s="237"/>
      <c r="O4780" s="237"/>
      <c r="P4780" s="237"/>
      <c r="Q4780" s="237"/>
      <c r="AL4780" s="226"/>
      <c r="AM4780" s="226"/>
    </row>
    <row r="4781" spans="1:39" x14ac:dyDescent="0.25">
      <c r="AA4781" s="237"/>
      <c r="AB4781" s="237"/>
      <c r="AC4781" s="237"/>
      <c r="AD4781" s="237"/>
      <c r="AE4781" s="237"/>
      <c r="AF4781" s="237"/>
      <c r="AG4781" s="237"/>
      <c r="AH4781" s="237"/>
      <c r="AJ4781" s="238"/>
    </row>
    <row r="4782" spans="1:39" ht="12.75" x14ac:dyDescent="0.2">
      <c r="AL4782" s="226"/>
      <c r="AM4782" s="226"/>
    </row>
    <row r="4783" spans="1:39" ht="12.75" x14ac:dyDescent="0.2">
      <c r="A4783" s="236"/>
      <c r="B4783" s="236"/>
      <c r="C4783" s="236"/>
      <c r="D4783" s="236"/>
      <c r="E4783" s="237"/>
      <c r="G4783" s="237"/>
      <c r="H4783" s="237"/>
      <c r="I4783" s="237"/>
      <c r="K4783" s="237"/>
      <c r="N4783" s="237"/>
      <c r="O4783" s="237"/>
      <c r="P4783" s="237"/>
      <c r="Q4783" s="237"/>
      <c r="AL4783" s="226"/>
      <c r="AM4783" s="226"/>
    </row>
    <row r="4784" spans="1:39" x14ac:dyDescent="0.25">
      <c r="AA4784" s="237"/>
      <c r="AB4784" s="237"/>
      <c r="AC4784" s="237"/>
      <c r="AD4784" s="237"/>
      <c r="AE4784" s="237"/>
      <c r="AF4784" s="237"/>
      <c r="AG4784" s="237"/>
      <c r="AH4784" s="237"/>
      <c r="AJ4784" s="238"/>
    </row>
    <row r="4785" spans="1:39" ht="12.75" x14ac:dyDescent="0.2">
      <c r="AL4785" s="226"/>
      <c r="AM4785" s="226"/>
    </row>
    <row r="4786" spans="1:39" ht="12.75" x14ac:dyDescent="0.2">
      <c r="A4786" s="236"/>
      <c r="B4786" s="236"/>
      <c r="C4786" s="236"/>
      <c r="D4786" s="236"/>
      <c r="E4786" s="237"/>
      <c r="G4786" s="237"/>
      <c r="H4786" s="237"/>
      <c r="I4786" s="237"/>
      <c r="K4786" s="237"/>
      <c r="N4786" s="237"/>
      <c r="O4786" s="237"/>
      <c r="P4786" s="237"/>
      <c r="Q4786" s="237"/>
      <c r="AL4786" s="226"/>
      <c r="AM4786" s="226"/>
    </row>
    <row r="4787" spans="1:39" x14ac:dyDescent="0.25">
      <c r="AA4787" s="237"/>
      <c r="AB4787" s="237"/>
      <c r="AC4787" s="237"/>
      <c r="AD4787" s="237"/>
      <c r="AE4787" s="237"/>
      <c r="AF4787" s="237"/>
      <c r="AG4787" s="237"/>
      <c r="AH4787" s="237"/>
      <c r="AJ4787" s="238"/>
    </row>
    <row r="4788" spans="1:39" ht="12.75" x14ac:dyDescent="0.2">
      <c r="AL4788" s="226"/>
      <c r="AM4788" s="226"/>
    </row>
    <row r="4789" spans="1:39" ht="12.75" x14ac:dyDescent="0.2">
      <c r="A4789" s="236"/>
      <c r="B4789" s="236"/>
      <c r="C4789" s="236"/>
      <c r="D4789" s="236"/>
      <c r="E4789" s="237"/>
      <c r="G4789" s="237"/>
      <c r="H4789" s="237"/>
      <c r="I4789" s="237"/>
      <c r="K4789" s="237"/>
      <c r="N4789" s="237"/>
      <c r="O4789" s="237"/>
      <c r="P4789" s="237"/>
      <c r="Q4789" s="237"/>
      <c r="AL4789" s="226"/>
      <c r="AM4789" s="226"/>
    </row>
    <row r="4790" spans="1:39" x14ac:dyDescent="0.25">
      <c r="AA4790" s="237"/>
      <c r="AB4790" s="237"/>
      <c r="AC4790" s="237"/>
      <c r="AD4790" s="237"/>
      <c r="AE4790" s="237"/>
      <c r="AF4790" s="237"/>
      <c r="AG4790" s="237"/>
      <c r="AH4790" s="237"/>
      <c r="AJ4790" s="238"/>
    </row>
    <row r="4791" spans="1:39" ht="12.75" x14ac:dyDescent="0.2">
      <c r="AL4791" s="226"/>
      <c r="AM4791" s="226"/>
    </row>
    <row r="4792" spans="1:39" ht="12.75" x14ac:dyDescent="0.2">
      <c r="A4792" s="236"/>
      <c r="B4792" s="236"/>
      <c r="C4792" s="236"/>
      <c r="D4792" s="236"/>
      <c r="E4792" s="237"/>
      <c r="G4792" s="237"/>
      <c r="H4792" s="237"/>
      <c r="I4792" s="237"/>
      <c r="K4792" s="237"/>
      <c r="N4792" s="237"/>
      <c r="O4792" s="237"/>
      <c r="P4792" s="237"/>
      <c r="Q4792" s="237"/>
      <c r="AL4792" s="226"/>
      <c r="AM4792" s="226"/>
    </row>
    <row r="4793" spans="1:39" x14ac:dyDescent="0.25">
      <c r="AA4793" s="237"/>
      <c r="AB4793" s="237"/>
      <c r="AC4793" s="237"/>
      <c r="AD4793" s="237"/>
      <c r="AE4793" s="237"/>
      <c r="AF4793" s="237"/>
      <c r="AG4793" s="237"/>
      <c r="AH4793" s="237"/>
      <c r="AJ4793" s="238"/>
    </row>
    <row r="4794" spans="1:39" ht="12.75" x14ac:dyDescent="0.2">
      <c r="AL4794" s="226"/>
      <c r="AM4794" s="226"/>
    </row>
    <row r="4795" spans="1:39" ht="12.75" x14ac:dyDescent="0.2">
      <c r="A4795" s="236"/>
      <c r="B4795" s="236"/>
      <c r="C4795" s="236"/>
      <c r="D4795" s="236"/>
      <c r="E4795" s="237"/>
      <c r="G4795" s="237"/>
      <c r="H4795" s="237"/>
      <c r="I4795" s="237"/>
      <c r="K4795" s="237"/>
      <c r="N4795" s="237"/>
      <c r="O4795" s="237"/>
      <c r="P4795" s="237"/>
      <c r="Q4795" s="237"/>
      <c r="AL4795" s="226"/>
      <c r="AM4795" s="226"/>
    </row>
    <row r="4796" spans="1:39" x14ac:dyDescent="0.25">
      <c r="AA4796" s="237"/>
      <c r="AB4796" s="237"/>
      <c r="AC4796" s="237"/>
      <c r="AD4796" s="237"/>
      <c r="AE4796" s="237"/>
      <c r="AF4796" s="237"/>
      <c r="AG4796" s="237"/>
      <c r="AH4796" s="237"/>
      <c r="AJ4796" s="238"/>
    </row>
    <row r="4797" spans="1:39" x14ac:dyDescent="0.25">
      <c r="AA4797" s="237"/>
      <c r="AB4797" s="237"/>
      <c r="AC4797" s="237"/>
      <c r="AD4797" s="237"/>
      <c r="AE4797" s="237"/>
      <c r="AF4797" s="237"/>
      <c r="AG4797" s="237"/>
      <c r="AH4797" s="237"/>
      <c r="AJ4797" s="238"/>
    </row>
    <row r="4798" spans="1:39" x14ac:dyDescent="0.25">
      <c r="AA4798" s="237"/>
      <c r="AB4798" s="237"/>
      <c r="AC4798" s="237"/>
      <c r="AD4798" s="237"/>
      <c r="AE4798" s="237"/>
      <c r="AF4798" s="237"/>
      <c r="AG4798" s="237"/>
      <c r="AH4798" s="237"/>
      <c r="AJ4798" s="238"/>
    </row>
    <row r="4799" spans="1:39" x14ac:dyDescent="0.25">
      <c r="AA4799" s="237"/>
      <c r="AB4799" s="237"/>
      <c r="AC4799" s="237"/>
      <c r="AD4799" s="237"/>
      <c r="AE4799" s="237"/>
      <c r="AF4799" s="237"/>
      <c r="AG4799" s="237"/>
      <c r="AH4799" s="237"/>
      <c r="AJ4799" s="238"/>
    </row>
    <row r="4800" spans="1:39" ht="12.75" x14ac:dyDescent="0.2">
      <c r="AL4800" s="226"/>
      <c r="AM4800" s="226"/>
    </row>
    <row r="4801" spans="1:39" ht="12.75" x14ac:dyDescent="0.2">
      <c r="A4801" s="236"/>
      <c r="B4801" s="236"/>
      <c r="C4801" s="236"/>
      <c r="D4801" s="236"/>
      <c r="E4801" s="237"/>
      <c r="G4801" s="237"/>
      <c r="H4801" s="237"/>
      <c r="I4801" s="237"/>
      <c r="K4801" s="237"/>
      <c r="N4801" s="237"/>
      <c r="O4801" s="237"/>
      <c r="P4801" s="237"/>
      <c r="Q4801" s="237"/>
      <c r="AL4801" s="226"/>
      <c r="AM4801" s="226"/>
    </row>
    <row r="4802" spans="1:39" x14ac:dyDescent="0.25">
      <c r="AA4802" s="237"/>
      <c r="AB4802" s="237"/>
      <c r="AC4802" s="237"/>
      <c r="AD4802" s="237"/>
      <c r="AE4802" s="237"/>
      <c r="AF4802" s="237"/>
      <c r="AG4802" s="237"/>
      <c r="AH4802" s="237"/>
      <c r="AJ4802" s="238"/>
    </row>
    <row r="4803" spans="1:39" x14ac:dyDescent="0.25">
      <c r="AA4803" s="237"/>
      <c r="AB4803" s="237"/>
      <c r="AC4803" s="237"/>
      <c r="AD4803" s="237"/>
      <c r="AE4803" s="237"/>
      <c r="AF4803" s="237"/>
      <c r="AG4803" s="237"/>
      <c r="AH4803" s="237"/>
      <c r="AJ4803" s="238"/>
    </row>
    <row r="4804" spans="1:39" ht="12.75" x14ac:dyDescent="0.2">
      <c r="AL4804" s="226"/>
      <c r="AM4804" s="226"/>
    </row>
    <row r="4805" spans="1:39" ht="12.75" x14ac:dyDescent="0.2">
      <c r="A4805" s="236"/>
      <c r="B4805" s="236"/>
      <c r="C4805" s="236"/>
      <c r="D4805" s="236"/>
      <c r="E4805" s="237"/>
      <c r="G4805" s="237"/>
      <c r="H4805" s="237"/>
      <c r="I4805" s="237"/>
      <c r="K4805" s="237"/>
      <c r="N4805" s="237"/>
      <c r="O4805" s="237"/>
      <c r="P4805" s="237"/>
      <c r="Q4805" s="237"/>
      <c r="AL4805" s="226"/>
      <c r="AM4805" s="226"/>
    </row>
    <row r="4806" spans="1:39" x14ac:dyDescent="0.25">
      <c r="AA4806" s="237"/>
      <c r="AB4806" s="237"/>
      <c r="AC4806" s="237"/>
      <c r="AD4806" s="237"/>
      <c r="AE4806" s="237"/>
      <c r="AF4806" s="237"/>
      <c r="AG4806" s="237"/>
      <c r="AH4806" s="237"/>
      <c r="AJ4806" s="238"/>
    </row>
    <row r="4807" spans="1:39" x14ac:dyDescent="0.25">
      <c r="AA4807" s="237"/>
      <c r="AB4807" s="237"/>
      <c r="AC4807" s="237"/>
      <c r="AD4807" s="237"/>
      <c r="AE4807" s="237"/>
      <c r="AF4807" s="237"/>
      <c r="AG4807" s="237"/>
      <c r="AH4807" s="237"/>
      <c r="AJ4807" s="238"/>
    </row>
    <row r="4808" spans="1:39" ht="12.75" x14ac:dyDescent="0.2">
      <c r="AL4808" s="226"/>
      <c r="AM4808" s="226"/>
    </row>
    <row r="4809" spans="1:39" ht="12.75" x14ac:dyDescent="0.2">
      <c r="A4809" s="236"/>
      <c r="B4809" s="236"/>
      <c r="C4809" s="236"/>
      <c r="D4809" s="236"/>
      <c r="E4809" s="237"/>
      <c r="G4809" s="237"/>
      <c r="H4809" s="237"/>
      <c r="I4809" s="237"/>
      <c r="K4809" s="237"/>
      <c r="N4809" s="237"/>
      <c r="O4809" s="237"/>
      <c r="P4809" s="237"/>
      <c r="Q4809" s="237"/>
      <c r="AL4809" s="226"/>
      <c r="AM4809" s="226"/>
    </row>
    <row r="4810" spans="1:39" x14ac:dyDescent="0.25">
      <c r="AA4810" s="237"/>
      <c r="AB4810" s="237"/>
      <c r="AC4810" s="237"/>
      <c r="AD4810" s="237"/>
      <c r="AE4810" s="237"/>
      <c r="AF4810" s="237"/>
      <c r="AG4810" s="237"/>
      <c r="AH4810" s="237"/>
      <c r="AJ4810" s="238"/>
    </row>
    <row r="4811" spans="1:39" x14ac:dyDescent="0.25">
      <c r="AA4811" s="237"/>
      <c r="AB4811" s="237"/>
      <c r="AC4811" s="237"/>
      <c r="AD4811" s="237"/>
      <c r="AE4811" s="237"/>
      <c r="AF4811" s="237"/>
      <c r="AG4811" s="237"/>
      <c r="AH4811" s="237"/>
      <c r="AJ4811" s="238"/>
    </row>
    <row r="4812" spans="1:39" ht="12.75" x14ac:dyDescent="0.2">
      <c r="AL4812" s="226"/>
      <c r="AM4812" s="226"/>
    </row>
    <row r="4813" spans="1:39" ht="12.75" x14ac:dyDescent="0.2">
      <c r="A4813" s="236"/>
      <c r="B4813" s="236"/>
      <c r="C4813" s="236"/>
      <c r="D4813" s="236"/>
      <c r="E4813" s="237"/>
      <c r="G4813" s="237"/>
      <c r="H4813" s="237"/>
      <c r="I4813" s="237"/>
      <c r="K4813" s="237"/>
      <c r="N4813" s="237"/>
      <c r="O4813" s="237"/>
      <c r="P4813" s="237"/>
      <c r="Q4813" s="237"/>
      <c r="AL4813" s="226"/>
      <c r="AM4813" s="226"/>
    </row>
    <row r="4814" spans="1:39" x14ac:dyDescent="0.25">
      <c r="AA4814" s="237"/>
      <c r="AB4814" s="237"/>
      <c r="AC4814" s="237"/>
      <c r="AD4814" s="237"/>
      <c r="AE4814" s="237"/>
      <c r="AF4814" s="237"/>
      <c r="AG4814" s="237"/>
      <c r="AH4814" s="237"/>
      <c r="AJ4814" s="238"/>
    </row>
    <row r="4815" spans="1:39" x14ac:dyDescent="0.25">
      <c r="AA4815" s="237"/>
      <c r="AB4815" s="237"/>
      <c r="AC4815" s="237"/>
      <c r="AD4815" s="237"/>
      <c r="AE4815" s="237"/>
      <c r="AF4815" s="237"/>
      <c r="AG4815" s="237"/>
      <c r="AH4815" s="237"/>
      <c r="AJ4815" s="238"/>
    </row>
    <row r="4816" spans="1:39" ht="12.75" x14ac:dyDescent="0.2">
      <c r="AL4816" s="226"/>
      <c r="AM4816" s="226"/>
    </row>
    <row r="4817" spans="1:39" ht="12.75" x14ac:dyDescent="0.2">
      <c r="A4817" s="236"/>
      <c r="B4817" s="236"/>
      <c r="C4817" s="236"/>
      <c r="D4817" s="236"/>
      <c r="E4817" s="237"/>
      <c r="G4817" s="237"/>
      <c r="H4817" s="237"/>
      <c r="I4817" s="237"/>
      <c r="K4817" s="237"/>
      <c r="N4817" s="237"/>
      <c r="O4817" s="237"/>
      <c r="P4817" s="237"/>
      <c r="Q4817" s="237"/>
      <c r="AL4817" s="226"/>
      <c r="AM4817" s="226"/>
    </row>
    <row r="4818" spans="1:39" x14ac:dyDescent="0.25">
      <c r="AA4818" s="237"/>
      <c r="AB4818" s="237"/>
      <c r="AC4818" s="237"/>
      <c r="AD4818" s="237"/>
      <c r="AE4818" s="237"/>
      <c r="AF4818" s="237"/>
      <c r="AG4818" s="237"/>
      <c r="AH4818" s="237"/>
      <c r="AJ4818" s="238"/>
    </row>
    <row r="4819" spans="1:39" ht="12.75" x14ac:dyDescent="0.2">
      <c r="AL4819" s="226"/>
      <c r="AM4819" s="226"/>
    </row>
    <row r="4820" spans="1:39" ht="12.75" x14ac:dyDescent="0.2">
      <c r="A4820" s="236"/>
      <c r="B4820" s="236"/>
      <c r="C4820" s="236"/>
      <c r="D4820" s="236"/>
      <c r="E4820" s="237"/>
      <c r="G4820" s="237"/>
      <c r="H4820" s="237"/>
      <c r="I4820" s="237"/>
      <c r="K4820" s="237"/>
      <c r="N4820" s="237"/>
      <c r="O4820" s="237"/>
      <c r="P4820" s="237"/>
      <c r="Q4820" s="237"/>
      <c r="AL4820" s="226"/>
      <c r="AM4820" s="226"/>
    </row>
    <row r="4821" spans="1:39" x14ac:dyDescent="0.25">
      <c r="AA4821" s="237"/>
      <c r="AB4821" s="237"/>
      <c r="AC4821" s="237"/>
      <c r="AD4821" s="237"/>
      <c r="AE4821" s="237"/>
      <c r="AF4821" s="237"/>
      <c r="AG4821" s="237"/>
      <c r="AH4821" s="237"/>
      <c r="AJ4821" s="238"/>
    </row>
    <row r="4822" spans="1:39" x14ac:dyDescent="0.25">
      <c r="AA4822" s="237"/>
      <c r="AB4822" s="237"/>
      <c r="AC4822" s="237"/>
      <c r="AD4822" s="237"/>
      <c r="AE4822" s="237"/>
      <c r="AF4822" s="237"/>
      <c r="AG4822" s="237"/>
      <c r="AH4822" s="237"/>
      <c r="AJ4822" s="238"/>
    </row>
    <row r="4823" spans="1:39" x14ac:dyDescent="0.25">
      <c r="AA4823" s="237"/>
      <c r="AB4823" s="237"/>
      <c r="AC4823" s="237"/>
      <c r="AD4823" s="237"/>
      <c r="AE4823" s="237"/>
      <c r="AF4823" s="237"/>
      <c r="AG4823" s="237"/>
      <c r="AH4823" s="237"/>
      <c r="AJ4823" s="238"/>
    </row>
    <row r="4824" spans="1:39" ht="12.75" x14ac:dyDescent="0.2">
      <c r="AL4824" s="226"/>
      <c r="AM4824" s="226"/>
    </row>
    <row r="4825" spans="1:39" ht="12.75" x14ac:dyDescent="0.2">
      <c r="A4825" s="236"/>
      <c r="B4825" s="236"/>
      <c r="C4825" s="236"/>
      <c r="D4825" s="236"/>
      <c r="E4825" s="237"/>
      <c r="G4825" s="237"/>
      <c r="H4825" s="237"/>
      <c r="I4825" s="237"/>
      <c r="K4825" s="237"/>
      <c r="N4825" s="237"/>
      <c r="O4825" s="237"/>
      <c r="P4825" s="237"/>
      <c r="Q4825" s="237"/>
      <c r="AL4825" s="226"/>
      <c r="AM4825" s="226"/>
    </row>
    <row r="4826" spans="1:39" x14ac:dyDescent="0.25">
      <c r="AA4826" s="237"/>
      <c r="AB4826" s="237"/>
      <c r="AC4826" s="237"/>
      <c r="AD4826" s="237"/>
      <c r="AE4826" s="237"/>
      <c r="AF4826" s="237"/>
      <c r="AG4826" s="237"/>
      <c r="AH4826" s="237"/>
      <c r="AJ4826" s="238"/>
    </row>
    <row r="4827" spans="1:39" x14ac:dyDescent="0.25">
      <c r="AA4827" s="237"/>
      <c r="AB4827" s="237"/>
      <c r="AC4827" s="237"/>
      <c r="AD4827" s="237"/>
      <c r="AE4827" s="237"/>
      <c r="AF4827" s="237"/>
      <c r="AG4827" s="237"/>
      <c r="AH4827" s="237"/>
      <c r="AJ4827" s="238"/>
    </row>
    <row r="4828" spans="1:39" x14ac:dyDescent="0.25">
      <c r="AA4828" s="237"/>
      <c r="AB4828" s="237"/>
      <c r="AC4828" s="237"/>
      <c r="AD4828" s="237"/>
      <c r="AE4828" s="237"/>
      <c r="AF4828" s="237"/>
      <c r="AG4828" s="237"/>
      <c r="AH4828" s="237"/>
      <c r="AJ4828" s="238"/>
    </row>
    <row r="4829" spans="1:39" ht="12.75" x14ac:dyDescent="0.2">
      <c r="AL4829" s="226"/>
      <c r="AM4829" s="226"/>
    </row>
    <row r="4830" spans="1:39" ht="12.75" x14ac:dyDescent="0.2">
      <c r="A4830" s="236"/>
      <c r="B4830" s="236"/>
      <c r="C4830" s="236"/>
      <c r="D4830" s="236"/>
      <c r="E4830" s="237"/>
      <c r="G4830" s="237"/>
      <c r="H4830" s="237"/>
      <c r="I4830" s="237"/>
      <c r="K4830" s="237"/>
      <c r="N4830" s="237"/>
      <c r="O4830" s="237"/>
      <c r="P4830" s="237"/>
      <c r="Q4830" s="237"/>
      <c r="AL4830" s="226"/>
      <c r="AM4830" s="226"/>
    </row>
    <row r="4831" spans="1:39" x14ac:dyDescent="0.25">
      <c r="AA4831" s="237"/>
      <c r="AB4831" s="237"/>
      <c r="AC4831" s="237"/>
      <c r="AD4831" s="237"/>
      <c r="AE4831" s="237"/>
      <c r="AF4831" s="237"/>
      <c r="AG4831" s="237"/>
      <c r="AH4831" s="237"/>
      <c r="AJ4831" s="238"/>
    </row>
    <row r="4832" spans="1:39" ht="12.75" x14ac:dyDescent="0.2">
      <c r="AL4832" s="226"/>
      <c r="AM4832" s="226"/>
    </row>
    <row r="4833" spans="1:39" ht="12.75" x14ac:dyDescent="0.2">
      <c r="A4833" s="236"/>
      <c r="B4833" s="236"/>
      <c r="C4833" s="236"/>
      <c r="D4833" s="236"/>
      <c r="E4833" s="237"/>
      <c r="G4833" s="237"/>
      <c r="H4833" s="237"/>
      <c r="I4833" s="237"/>
      <c r="K4833" s="237"/>
      <c r="N4833" s="237"/>
      <c r="O4833" s="237"/>
      <c r="P4833" s="237"/>
      <c r="Q4833" s="237"/>
      <c r="AL4833" s="226"/>
      <c r="AM4833" s="226"/>
    </row>
    <row r="4834" spans="1:39" x14ac:dyDescent="0.25">
      <c r="AA4834" s="237"/>
      <c r="AB4834" s="237"/>
      <c r="AC4834" s="237"/>
      <c r="AD4834" s="237"/>
      <c r="AE4834" s="237"/>
      <c r="AF4834" s="237"/>
      <c r="AG4834" s="237"/>
      <c r="AH4834" s="237"/>
      <c r="AJ4834" s="238"/>
    </row>
    <row r="4835" spans="1:39" ht="12.75" x14ac:dyDescent="0.2">
      <c r="AL4835" s="226"/>
      <c r="AM4835" s="226"/>
    </row>
    <row r="4836" spans="1:39" ht="12.75" x14ac:dyDescent="0.2">
      <c r="A4836" s="236"/>
      <c r="B4836" s="236"/>
      <c r="C4836" s="236"/>
      <c r="D4836" s="236"/>
      <c r="E4836" s="237"/>
      <c r="G4836" s="237"/>
      <c r="H4836" s="237"/>
      <c r="I4836" s="237"/>
      <c r="K4836" s="237"/>
      <c r="N4836" s="237"/>
      <c r="O4836" s="237"/>
      <c r="P4836" s="237"/>
      <c r="Q4836" s="237"/>
      <c r="AL4836" s="226"/>
      <c r="AM4836" s="226"/>
    </row>
    <row r="4837" spans="1:39" x14ac:dyDescent="0.25">
      <c r="AA4837" s="237"/>
      <c r="AB4837" s="237"/>
      <c r="AC4837" s="237"/>
      <c r="AD4837" s="237"/>
      <c r="AE4837" s="237"/>
      <c r="AF4837" s="237"/>
      <c r="AG4837" s="237"/>
      <c r="AH4837" s="237"/>
      <c r="AJ4837" s="238"/>
    </row>
    <row r="4838" spans="1:39" ht="12.75" x14ac:dyDescent="0.2">
      <c r="AL4838" s="226"/>
      <c r="AM4838" s="226"/>
    </row>
    <row r="4839" spans="1:39" ht="12.75" x14ac:dyDescent="0.2">
      <c r="A4839" s="236"/>
      <c r="B4839" s="236"/>
      <c r="C4839" s="236"/>
      <c r="D4839" s="236"/>
      <c r="E4839" s="237"/>
      <c r="G4839" s="237"/>
      <c r="H4839" s="237"/>
      <c r="I4839" s="237"/>
      <c r="K4839" s="237"/>
      <c r="N4839" s="237"/>
      <c r="O4839" s="237"/>
      <c r="P4839" s="237"/>
      <c r="Q4839" s="237"/>
      <c r="AL4839" s="226"/>
      <c r="AM4839" s="226"/>
    </row>
    <row r="4840" spans="1:39" x14ac:dyDescent="0.25">
      <c r="AA4840" s="237"/>
      <c r="AB4840" s="237"/>
      <c r="AC4840" s="237"/>
      <c r="AD4840" s="237"/>
      <c r="AE4840" s="237"/>
      <c r="AF4840" s="237"/>
      <c r="AG4840" s="237"/>
      <c r="AH4840" s="237"/>
      <c r="AJ4840" s="238"/>
    </row>
    <row r="4841" spans="1:39" ht="12.75" x14ac:dyDescent="0.2">
      <c r="AL4841" s="226"/>
      <c r="AM4841" s="226"/>
    </row>
    <row r="4842" spans="1:39" ht="12.75" x14ac:dyDescent="0.2">
      <c r="A4842" s="236"/>
      <c r="B4842" s="236"/>
      <c r="C4842" s="236"/>
      <c r="D4842" s="236"/>
      <c r="E4842" s="237"/>
      <c r="G4842" s="237"/>
      <c r="H4842" s="237"/>
      <c r="I4842" s="237"/>
      <c r="K4842" s="237"/>
      <c r="N4842" s="237"/>
      <c r="O4842" s="237"/>
      <c r="P4842" s="237"/>
      <c r="Q4842" s="237"/>
      <c r="AL4842" s="226"/>
      <c r="AM4842" s="226"/>
    </row>
    <row r="4843" spans="1:39" x14ac:dyDescent="0.25">
      <c r="AA4843" s="237"/>
      <c r="AB4843" s="237"/>
      <c r="AC4843" s="237"/>
      <c r="AD4843" s="237"/>
      <c r="AE4843" s="237"/>
      <c r="AF4843" s="237"/>
      <c r="AG4843" s="237"/>
      <c r="AH4843" s="237"/>
      <c r="AJ4843" s="238"/>
    </row>
    <row r="4844" spans="1:39" ht="12.75" x14ac:dyDescent="0.2">
      <c r="AL4844" s="226"/>
      <c r="AM4844" s="226"/>
    </row>
    <row r="4845" spans="1:39" ht="12.75" x14ac:dyDescent="0.2">
      <c r="A4845" s="236"/>
      <c r="B4845" s="236"/>
      <c r="C4845" s="236"/>
      <c r="D4845" s="236"/>
      <c r="E4845" s="237"/>
      <c r="G4845" s="237"/>
      <c r="H4845" s="237"/>
      <c r="I4845" s="237"/>
      <c r="K4845" s="237"/>
      <c r="N4845" s="237"/>
      <c r="O4845" s="237"/>
      <c r="P4845" s="237"/>
      <c r="Q4845" s="237"/>
      <c r="AL4845" s="226"/>
      <c r="AM4845" s="226"/>
    </row>
    <row r="4846" spans="1:39" x14ac:dyDescent="0.25">
      <c r="AA4846" s="237"/>
      <c r="AB4846" s="237"/>
      <c r="AC4846" s="237"/>
      <c r="AD4846" s="237"/>
      <c r="AE4846" s="237"/>
      <c r="AF4846" s="237"/>
      <c r="AG4846" s="237"/>
      <c r="AH4846" s="237"/>
      <c r="AJ4846" s="238"/>
    </row>
    <row r="4847" spans="1:39" x14ac:dyDescent="0.25">
      <c r="AA4847" s="237"/>
      <c r="AB4847" s="237"/>
      <c r="AC4847" s="237"/>
      <c r="AD4847" s="237"/>
      <c r="AE4847" s="237"/>
      <c r="AF4847" s="237"/>
      <c r="AG4847" s="237"/>
      <c r="AH4847" s="237"/>
      <c r="AJ4847" s="238"/>
    </row>
    <row r="4848" spans="1:39" ht="12.75" x14ac:dyDescent="0.2">
      <c r="AL4848" s="226"/>
      <c r="AM4848" s="226"/>
    </row>
    <row r="4849" spans="1:39" ht="12.75" x14ac:dyDescent="0.2">
      <c r="A4849" s="236"/>
      <c r="B4849" s="236"/>
      <c r="C4849" s="236"/>
      <c r="D4849" s="236"/>
      <c r="E4849" s="237"/>
      <c r="G4849" s="237"/>
      <c r="H4849" s="237"/>
      <c r="I4849" s="237"/>
      <c r="K4849" s="237"/>
      <c r="N4849" s="237"/>
      <c r="O4849" s="237"/>
      <c r="P4849" s="237"/>
      <c r="Q4849" s="237"/>
      <c r="AL4849" s="226"/>
      <c r="AM4849" s="226"/>
    </row>
    <row r="4850" spans="1:39" x14ac:dyDescent="0.25">
      <c r="AA4850" s="237"/>
      <c r="AB4850" s="237"/>
      <c r="AC4850" s="237"/>
      <c r="AD4850" s="237"/>
      <c r="AE4850" s="237"/>
      <c r="AF4850" s="237"/>
      <c r="AG4850" s="237"/>
      <c r="AH4850" s="237"/>
      <c r="AJ4850" s="238"/>
    </row>
    <row r="4851" spans="1:39" x14ac:dyDescent="0.25">
      <c r="AA4851" s="237"/>
      <c r="AB4851" s="237"/>
      <c r="AC4851" s="237"/>
      <c r="AD4851" s="237"/>
      <c r="AE4851" s="237"/>
      <c r="AF4851" s="237"/>
      <c r="AG4851" s="237"/>
      <c r="AH4851" s="237"/>
      <c r="AJ4851" s="238"/>
    </row>
    <row r="4852" spans="1:39" x14ac:dyDescent="0.25">
      <c r="AA4852" s="237"/>
      <c r="AB4852" s="237"/>
      <c r="AC4852" s="237"/>
      <c r="AD4852" s="237"/>
      <c r="AE4852" s="237"/>
      <c r="AF4852" s="237"/>
      <c r="AG4852" s="237"/>
      <c r="AH4852" s="237"/>
      <c r="AJ4852" s="238"/>
    </row>
    <row r="4853" spans="1:39" ht="12.75" x14ac:dyDescent="0.2">
      <c r="AL4853" s="226"/>
      <c r="AM4853" s="226"/>
    </row>
    <row r="4854" spans="1:39" ht="12.75" x14ac:dyDescent="0.2">
      <c r="A4854" s="236"/>
      <c r="B4854" s="236"/>
      <c r="C4854" s="236"/>
      <c r="D4854" s="236"/>
      <c r="E4854" s="237"/>
      <c r="G4854" s="237"/>
      <c r="H4854" s="237"/>
      <c r="I4854" s="237"/>
      <c r="K4854" s="237"/>
      <c r="N4854" s="237"/>
      <c r="O4854" s="237"/>
      <c r="P4854" s="237"/>
      <c r="Q4854" s="237"/>
      <c r="AL4854" s="226"/>
      <c r="AM4854" s="226"/>
    </row>
    <row r="4855" spans="1:39" x14ac:dyDescent="0.25">
      <c r="AA4855" s="237"/>
      <c r="AB4855" s="237"/>
      <c r="AC4855" s="237"/>
      <c r="AD4855" s="237"/>
      <c r="AE4855" s="237"/>
      <c r="AF4855" s="237"/>
      <c r="AG4855" s="237"/>
      <c r="AH4855" s="237"/>
      <c r="AJ4855" s="238"/>
    </row>
    <row r="4856" spans="1:39" x14ac:dyDescent="0.25">
      <c r="AA4856" s="237"/>
      <c r="AB4856" s="237"/>
      <c r="AC4856" s="237"/>
      <c r="AD4856" s="237"/>
      <c r="AE4856" s="237"/>
      <c r="AF4856" s="237"/>
      <c r="AG4856" s="237"/>
      <c r="AH4856" s="237"/>
      <c r="AJ4856" s="238"/>
    </row>
    <row r="4857" spans="1:39" x14ac:dyDescent="0.25">
      <c r="AA4857" s="237"/>
      <c r="AB4857" s="237"/>
      <c r="AC4857" s="237"/>
      <c r="AD4857" s="237"/>
      <c r="AE4857" s="237"/>
      <c r="AF4857" s="237"/>
      <c r="AG4857" s="237"/>
      <c r="AH4857" s="237"/>
      <c r="AJ4857" s="238"/>
    </row>
    <row r="4858" spans="1:39" x14ac:dyDescent="0.25">
      <c r="AA4858" s="237"/>
      <c r="AB4858" s="237"/>
      <c r="AC4858" s="237"/>
      <c r="AD4858" s="237"/>
      <c r="AE4858" s="237"/>
      <c r="AF4858" s="237"/>
      <c r="AG4858" s="237"/>
      <c r="AH4858" s="237"/>
      <c r="AJ4858" s="238"/>
    </row>
    <row r="4859" spans="1:39" x14ac:dyDescent="0.25">
      <c r="AA4859" s="237"/>
      <c r="AB4859" s="237"/>
      <c r="AC4859" s="237"/>
      <c r="AD4859" s="237"/>
      <c r="AE4859" s="237"/>
      <c r="AF4859" s="237"/>
      <c r="AG4859" s="237"/>
      <c r="AH4859" s="237"/>
      <c r="AJ4859" s="238"/>
    </row>
    <row r="4860" spans="1:39" x14ac:dyDescent="0.25">
      <c r="AA4860" s="237"/>
      <c r="AB4860" s="237"/>
      <c r="AC4860" s="237"/>
      <c r="AD4860" s="237"/>
      <c r="AE4860" s="237"/>
      <c r="AF4860" s="237"/>
      <c r="AG4860" s="237"/>
      <c r="AH4860" s="237"/>
      <c r="AJ4860" s="238"/>
    </row>
    <row r="4861" spans="1:39" ht="12.75" x14ac:dyDescent="0.2">
      <c r="AL4861" s="226"/>
      <c r="AM4861" s="226"/>
    </row>
    <row r="4862" spans="1:39" ht="12.75" x14ac:dyDescent="0.2">
      <c r="A4862" s="236"/>
      <c r="B4862" s="236"/>
      <c r="C4862" s="236"/>
      <c r="D4862" s="236"/>
      <c r="E4862" s="237"/>
      <c r="G4862" s="237"/>
      <c r="H4862" s="237"/>
      <c r="I4862" s="237"/>
      <c r="K4862" s="237"/>
      <c r="N4862" s="237"/>
      <c r="O4862" s="237"/>
      <c r="P4862" s="237"/>
      <c r="Q4862" s="237"/>
      <c r="AL4862" s="226"/>
      <c r="AM4862" s="226"/>
    </row>
    <row r="4863" spans="1:39" x14ac:dyDescent="0.25">
      <c r="AA4863" s="237"/>
      <c r="AB4863" s="237"/>
      <c r="AC4863" s="237"/>
      <c r="AD4863" s="237"/>
      <c r="AE4863" s="237"/>
      <c r="AF4863" s="237"/>
      <c r="AG4863" s="237"/>
      <c r="AH4863" s="237"/>
      <c r="AJ4863" s="238"/>
    </row>
    <row r="4864" spans="1:39" x14ac:dyDescent="0.25">
      <c r="AA4864" s="237"/>
      <c r="AB4864" s="237"/>
      <c r="AC4864" s="237"/>
      <c r="AD4864" s="237"/>
      <c r="AE4864" s="237"/>
      <c r="AF4864" s="237"/>
      <c r="AG4864" s="237"/>
      <c r="AH4864" s="237"/>
      <c r="AJ4864" s="238"/>
    </row>
    <row r="4865" spans="1:39" x14ac:dyDescent="0.25">
      <c r="AA4865" s="237"/>
      <c r="AB4865" s="237"/>
      <c r="AC4865" s="237"/>
      <c r="AD4865" s="237"/>
      <c r="AE4865" s="237"/>
      <c r="AF4865" s="237"/>
      <c r="AG4865" s="237"/>
      <c r="AH4865" s="237"/>
      <c r="AJ4865" s="238"/>
    </row>
    <row r="4866" spans="1:39" x14ac:dyDescent="0.25">
      <c r="AA4866" s="237"/>
      <c r="AB4866" s="237"/>
      <c r="AC4866" s="237"/>
      <c r="AD4866" s="237"/>
      <c r="AE4866" s="237"/>
      <c r="AF4866" s="237"/>
      <c r="AG4866" s="237"/>
      <c r="AH4866" s="237"/>
      <c r="AJ4866" s="238"/>
    </row>
    <row r="4867" spans="1:39" x14ac:dyDescent="0.25">
      <c r="AA4867" s="237"/>
      <c r="AB4867" s="237"/>
      <c r="AC4867" s="237"/>
      <c r="AD4867" s="237"/>
      <c r="AE4867" s="237"/>
      <c r="AF4867" s="237"/>
      <c r="AG4867" s="237"/>
      <c r="AH4867" s="237"/>
      <c r="AJ4867" s="238"/>
    </row>
    <row r="4868" spans="1:39" x14ac:dyDescent="0.25">
      <c r="AA4868" s="237"/>
      <c r="AB4868" s="237"/>
      <c r="AC4868" s="237"/>
      <c r="AD4868" s="237"/>
      <c r="AE4868" s="237"/>
      <c r="AF4868" s="237"/>
      <c r="AG4868" s="237"/>
      <c r="AH4868" s="237"/>
      <c r="AJ4868" s="238"/>
    </row>
    <row r="4869" spans="1:39" ht="12.75" x14ac:dyDescent="0.2">
      <c r="AL4869" s="226"/>
      <c r="AM4869" s="226"/>
    </row>
    <row r="4870" spans="1:39" ht="12.75" x14ac:dyDescent="0.2">
      <c r="A4870" s="236"/>
      <c r="B4870" s="236"/>
      <c r="C4870" s="236"/>
      <c r="D4870" s="236"/>
      <c r="E4870" s="237"/>
      <c r="G4870" s="237"/>
      <c r="H4870" s="237"/>
      <c r="I4870" s="237"/>
      <c r="K4870" s="237"/>
      <c r="N4870" s="237"/>
      <c r="O4870" s="237"/>
      <c r="P4870" s="237"/>
      <c r="Q4870" s="237"/>
      <c r="AL4870" s="226"/>
      <c r="AM4870" s="226"/>
    </row>
    <row r="4871" spans="1:39" x14ac:dyDescent="0.25">
      <c r="AA4871" s="237"/>
      <c r="AB4871" s="237"/>
      <c r="AC4871" s="237"/>
      <c r="AD4871" s="237"/>
      <c r="AE4871" s="237"/>
      <c r="AF4871" s="237"/>
      <c r="AG4871" s="237"/>
      <c r="AH4871" s="237"/>
      <c r="AJ4871" s="238"/>
    </row>
    <row r="4872" spans="1:39" x14ac:dyDescent="0.25">
      <c r="AA4872" s="237"/>
      <c r="AB4872" s="237"/>
      <c r="AC4872" s="237"/>
      <c r="AD4872" s="237"/>
      <c r="AE4872" s="237"/>
      <c r="AF4872" s="237"/>
      <c r="AG4872" s="237"/>
      <c r="AH4872" s="237"/>
      <c r="AJ4872" s="238"/>
    </row>
    <row r="4873" spans="1:39" x14ac:dyDescent="0.25">
      <c r="AA4873" s="237"/>
      <c r="AB4873" s="237"/>
      <c r="AC4873" s="237"/>
      <c r="AD4873" s="237"/>
      <c r="AE4873" s="237"/>
      <c r="AF4873" s="237"/>
      <c r="AG4873" s="237"/>
      <c r="AH4873" s="237"/>
      <c r="AJ4873" s="238"/>
    </row>
    <row r="4874" spans="1:39" x14ac:dyDescent="0.25">
      <c r="AA4874" s="237"/>
      <c r="AB4874" s="237"/>
      <c r="AC4874" s="237"/>
      <c r="AD4874" s="237"/>
      <c r="AE4874" s="237"/>
      <c r="AF4874" s="237"/>
      <c r="AG4874" s="237"/>
      <c r="AH4874" s="237"/>
      <c r="AJ4874" s="238"/>
    </row>
    <row r="4875" spans="1:39" x14ac:dyDescent="0.25">
      <c r="AA4875" s="237"/>
      <c r="AB4875" s="237"/>
      <c r="AC4875" s="237"/>
      <c r="AD4875" s="237"/>
      <c r="AE4875" s="237"/>
      <c r="AF4875" s="237"/>
      <c r="AG4875" s="237"/>
      <c r="AH4875" s="237"/>
      <c r="AJ4875" s="238"/>
    </row>
    <row r="4876" spans="1:39" ht="12.75" x14ac:dyDescent="0.2">
      <c r="AL4876" s="226"/>
      <c r="AM4876" s="226"/>
    </row>
    <row r="4877" spans="1:39" ht="12.75" x14ac:dyDescent="0.2">
      <c r="A4877" s="236"/>
      <c r="B4877" s="236"/>
      <c r="C4877" s="236"/>
      <c r="D4877" s="236"/>
      <c r="E4877" s="237"/>
      <c r="G4877" s="237"/>
      <c r="H4877" s="237"/>
      <c r="I4877" s="237"/>
      <c r="K4877" s="237"/>
      <c r="N4877" s="237"/>
      <c r="O4877" s="237"/>
      <c r="P4877" s="237"/>
      <c r="Q4877" s="237"/>
      <c r="AL4877" s="226"/>
      <c r="AM4877" s="226"/>
    </row>
    <row r="4878" spans="1:39" x14ac:dyDescent="0.25">
      <c r="AA4878" s="237"/>
      <c r="AB4878" s="237"/>
      <c r="AC4878" s="237"/>
      <c r="AD4878" s="237"/>
      <c r="AE4878" s="237"/>
      <c r="AF4878" s="237"/>
      <c r="AG4878" s="237"/>
      <c r="AH4878" s="237"/>
      <c r="AJ4878" s="238"/>
    </row>
    <row r="4879" spans="1:39" x14ac:dyDescent="0.25">
      <c r="AA4879" s="237"/>
      <c r="AB4879" s="237"/>
      <c r="AC4879" s="237"/>
      <c r="AD4879" s="237"/>
      <c r="AE4879" s="237"/>
      <c r="AF4879" s="237"/>
      <c r="AG4879" s="237"/>
      <c r="AH4879" s="237"/>
      <c r="AJ4879" s="238"/>
    </row>
    <row r="4880" spans="1:39" x14ac:dyDescent="0.25">
      <c r="AA4880" s="237"/>
      <c r="AB4880" s="237"/>
      <c r="AC4880" s="237"/>
      <c r="AD4880" s="237"/>
      <c r="AE4880" s="237"/>
      <c r="AF4880" s="237"/>
      <c r="AG4880" s="237"/>
      <c r="AH4880" s="237"/>
      <c r="AJ4880" s="238"/>
    </row>
    <row r="4881" spans="1:39" x14ac:dyDescent="0.25">
      <c r="AA4881" s="237"/>
      <c r="AB4881" s="237"/>
      <c r="AC4881" s="237"/>
      <c r="AD4881" s="237"/>
      <c r="AE4881" s="237"/>
      <c r="AF4881" s="237"/>
      <c r="AG4881" s="237"/>
      <c r="AH4881" s="237"/>
      <c r="AJ4881" s="238"/>
    </row>
    <row r="4882" spans="1:39" ht="12.75" x14ac:dyDescent="0.2">
      <c r="AL4882" s="226"/>
      <c r="AM4882" s="226"/>
    </row>
    <row r="4883" spans="1:39" ht="12.75" x14ac:dyDescent="0.2">
      <c r="A4883" s="236"/>
      <c r="B4883" s="236"/>
      <c r="C4883" s="236"/>
      <c r="D4883" s="236"/>
      <c r="E4883" s="237"/>
      <c r="G4883" s="237"/>
      <c r="H4883" s="237"/>
      <c r="I4883" s="237"/>
      <c r="K4883" s="237"/>
      <c r="N4883" s="237"/>
      <c r="O4883" s="237"/>
      <c r="P4883" s="237"/>
      <c r="Q4883" s="237"/>
      <c r="AL4883" s="226"/>
      <c r="AM4883" s="226"/>
    </row>
    <row r="4884" spans="1:39" x14ac:dyDescent="0.25">
      <c r="AA4884" s="237"/>
      <c r="AB4884" s="237"/>
      <c r="AC4884" s="237"/>
      <c r="AD4884" s="237"/>
      <c r="AE4884" s="237"/>
      <c r="AF4884" s="237"/>
      <c r="AG4884" s="237"/>
      <c r="AH4884" s="237"/>
      <c r="AJ4884" s="238"/>
    </row>
    <row r="4885" spans="1:39" ht="12.75" x14ac:dyDescent="0.2">
      <c r="AL4885" s="226"/>
      <c r="AM4885" s="226"/>
    </row>
    <row r="4886" spans="1:39" ht="12.75" x14ac:dyDescent="0.2">
      <c r="A4886" s="236"/>
      <c r="B4886" s="236"/>
      <c r="C4886" s="236"/>
      <c r="D4886" s="236"/>
      <c r="E4886" s="237"/>
      <c r="G4886" s="237"/>
      <c r="H4886" s="237"/>
      <c r="I4886" s="237"/>
      <c r="K4886" s="237"/>
      <c r="N4886" s="237"/>
      <c r="O4886" s="237"/>
      <c r="P4886" s="237"/>
      <c r="Q4886" s="237"/>
      <c r="AL4886" s="226"/>
      <c r="AM4886" s="226"/>
    </row>
    <row r="4887" spans="1:39" x14ac:dyDescent="0.25">
      <c r="AA4887" s="237"/>
      <c r="AB4887" s="237"/>
      <c r="AC4887" s="237"/>
      <c r="AD4887" s="237"/>
      <c r="AE4887" s="237"/>
      <c r="AF4887" s="237"/>
      <c r="AG4887" s="237"/>
      <c r="AH4887" s="237"/>
      <c r="AJ4887" s="238"/>
    </row>
    <row r="4888" spans="1:39" x14ac:dyDescent="0.25">
      <c r="AA4888" s="237"/>
      <c r="AB4888" s="237"/>
      <c r="AC4888" s="237"/>
      <c r="AD4888" s="237"/>
      <c r="AE4888" s="237"/>
      <c r="AF4888" s="237"/>
      <c r="AG4888" s="237"/>
      <c r="AH4888" s="237"/>
      <c r="AJ4888" s="238"/>
    </row>
    <row r="4889" spans="1:39" x14ac:dyDescent="0.25">
      <c r="AA4889" s="237"/>
      <c r="AB4889" s="237"/>
      <c r="AC4889" s="237"/>
      <c r="AD4889" s="237"/>
      <c r="AE4889" s="237"/>
      <c r="AF4889" s="237"/>
      <c r="AG4889" s="237"/>
      <c r="AH4889" s="237"/>
      <c r="AJ4889" s="238"/>
    </row>
    <row r="4890" spans="1:39" ht="12.75" x14ac:dyDescent="0.2">
      <c r="AL4890" s="226"/>
      <c r="AM4890" s="226"/>
    </row>
    <row r="4891" spans="1:39" ht="12.75" x14ac:dyDescent="0.2">
      <c r="A4891" s="236"/>
      <c r="B4891" s="236"/>
      <c r="C4891" s="236"/>
      <c r="D4891" s="236"/>
      <c r="E4891" s="237"/>
      <c r="G4891" s="237"/>
      <c r="H4891" s="237"/>
      <c r="I4891" s="237"/>
      <c r="K4891" s="237"/>
      <c r="N4891" s="237"/>
      <c r="O4891" s="237"/>
      <c r="P4891" s="237"/>
      <c r="Q4891" s="237"/>
      <c r="AL4891" s="226"/>
      <c r="AM4891" s="226"/>
    </row>
    <row r="4892" spans="1:39" x14ac:dyDescent="0.25">
      <c r="AA4892" s="237"/>
      <c r="AB4892" s="237"/>
      <c r="AC4892" s="237"/>
      <c r="AD4892" s="237"/>
      <c r="AE4892" s="237"/>
      <c r="AF4892" s="237"/>
      <c r="AG4892" s="237"/>
      <c r="AH4892" s="237"/>
      <c r="AJ4892" s="238"/>
    </row>
    <row r="4893" spans="1:39" x14ac:dyDescent="0.25">
      <c r="AA4893" s="237"/>
      <c r="AB4893" s="237"/>
      <c r="AC4893" s="237"/>
      <c r="AD4893" s="237"/>
      <c r="AE4893" s="237"/>
      <c r="AF4893" s="237"/>
      <c r="AG4893" s="237"/>
      <c r="AH4893" s="237"/>
      <c r="AJ4893" s="238"/>
    </row>
    <row r="4894" spans="1:39" x14ac:dyDescent="0.25">
      <c r="AA4894" s="237"/>
      <c r="AB4894" s="237"/>
      <c r="AC4894" s="237"/>
      <c r="AD4894" s="237"/>
      <c r="AE4894" s="237"/>
      <c r="AF4894" s="237"/>
      <c r="AG4894" s="237"/>
      <c r="AH4894" s="237"/>
      <c r="AJ4894" s="238"/>
    </row>
    <row r="4895" spans="1:39" x14ac:dyDescent="0.25">
      <c r="AA4895" s="237"/>
      <c r="AB4895" s="237"/>
      <c r="AC4895" s="237"/>
      <c r="AD4895" s="237"/>
      <c r="AE4895" s="237"/>
      <c r="AF4895" s="237"/>
      <c r="AG4895" s="237"/>
      <c r="AH4895" s="237"/>
      <c r="AJ4895" s="238"/>
    </row>
    <row r="4896" spans="1:39" x14ac:dyDescent="0.25">
      <c r="AA4896" s="237"/>
      <c r="AB4896" s="237"/>
      <c r="AC4896" s="237"/>
      <c r="AD4896" s="237"/>
      <c r="AE4896" s="237"/>
      <c r="AF4896" s="237"/>
      <c r="AG4896" s="237"/>
      <c r="AH4896" s="237"/>
      <c r="AJ4896" s="238"/>
    </row>
    <row r="4897" spans="1:39" x14ac:dyDescent="0.25">
      <c r="AA4897" s="237"/>
      <c r="AB4897" s="237"/>
      <c r="AC4897" s="237"/>
      <c r="AD4897" s="237"/>
      <c r="AE4897" s="237"/>
      <c r="AF4897" s="237"/>
      <c r="AG4897" s="237"/>
      <c r="AH4897" s="237"/>
      <c r="AJ4897" s="238"/>
    </row>
    <row r="4898" spans="1:39" x14ac:dyDescent="0.25">
      <c r="AA4898" s="237"/>
      <c r="AB4898" s="237"/>
      <c r="AC4898" s="237"/>
      <c r="AD4898" s="237"/>
      <c r="AE4898" s="237"/>
      <c r="AF4898" s="237"/>
      <c r="AG4898" s="237"/>
      <c r="AH4898" s="237"/>
      <c r="AJ4898" s="238"/>
    </row>
    <row r="4899" spans="1:39" x14ac:dyDescent="0.25">
      <c r="AA4899" s="237"/>
      <c r="AB4899" s="237"/>
      <c r="AC4899" s="237"/>
      <c r="AD4899" s="237"/>
      <c r="AE4899" s="237"/>
      <c r="AF4899" s="237"/>
      <c r="AG4899" s="237"/>
      <c r="AH4899" s="237"/>
      <c r="AJ4899" s="238"/>
    </row>
    <row r="4900" spans="1:39" x14ac:dyDescent="0.25">
      <c r="AA4900" s="237"/>
      <c r="AB4900" s="237"/>
      <c r="AC4900" s="237"/>
      <c r="AD4900" s="237"/>
      <c r="AE4900" s="237"/>
      <c r="AF4900" s="237"/>
      <c r="AG4900" s="237"/>
      <c r="AH4900" s="237"/>
      <c r="AJ4900" s="238"/>
    </row>
    <row r="4901" spans="1:39" x14ac:dyDescent="0.25">
      <c r="AA4901" s="237"/>
      <c r="AB4901" s="237"/>
      <c r="AC4901" s="237"/>
      <c r="AD4901" s="237"/>
      <c r="AE4901" s="237"/>
      <c r="AF4901" s="237"/>
      <c r="AG4901" s="237"/>
      <c r="AH4901" s="237"/>
      <c r="AJ4901" s="238"/>
    </row>
    <row r="4902" spans="1:39" x14ac:dyDescent="0.25">
      <c r="AA4902" s="237"/>
      <c r="AB4902" s="237"/>
      <c r="AC4902" s="237"/>
      <c r="AD4902" s="237"/>
      <c r="AE4902" s="237"/>
      <c r="AF4902" s="237"/>
      <c r="AG4902" s="237"/>
      <c r="AH4902" s="237"/>
      <c r="AJ4902" s="238"/>
    </row>
    <row r="4903" spans="1:39" x14ac:dyDescent="0.25">
      <c r="AA4903" s="237"/>
      <c r="AB4903" s="237"/>
      <c r="AC4903" s="237"/>
      <c r="AD4903" s="237"/>
      <c r="AE4903" s="237"/>
      <c r="AF4903" s="237"/>
      <c r="AG4903" s="237"/>
      <c r="AH4903" s="237"/>
      <c r="AJ4903" s="238"/>
    </row>
    <row r="4904" spans="1:39" x14ac:dyDescent="0.25">
      <c r="AA4904" s="237"/>
      <c r="AB4904" s="237"/>
      <c r="AC4904" s="237"/>
      <c r="AD4904" s="237"/>
      <c r="AE4904" s="237"/>
      <c r="AF4904" s="237"/>
      <c r="AG4904" s="237"/>
      <c r="AH4904" s="237"/>
      <c r="AJ4904" s="238"/>
    </row>
    <row r="4905" spans="1:39" x14ac:dyDescent="0.25">
      <c r="AA4905" s="237"/>
      <c r="AB4905" s="237"/>
      <c r="AC4905" s="237"/>
      <c r="AD4905" s="237"/>
      <c r="AE4905" s="237"/>
      <c r="AF4905" s="237"/>
      <c r="AG4905" s="237"/>
      <c r="AH4905" s="237"/>
      <c r="AJ4905" s="238"/>
    </row>
    <row r="4906" spans="1:39" ht="12.75" x14ac:dyDescent="0.2">
      <c r="AL4906" s="226"/>
      <c r="AM4906" s="226"/>
    </row>
    <row r="4907" spans="1:39" ht="13.5" thickBot="1" x14ac:dyDescent="0.25">
      <c r="A4907" s="247"/>
      <c r="B4907" s="247"/>
      <c r="C4907" s="247"/>
      <c r="D4907" s="247"/>
      <c r="E4907" s="248"/>
      <c r="F4907" s="249"/>
      <c r="G4907" s="248"/>
      <c r="H4907" s="248"/>
      <c r="I4907" s="248"/>
      <c r="J4907" s="249"/>
      <c r="K4907" s="248"/>
      <c r="L4907" s="249"/>
      <c r="M4907" s="249"/>
      <c r="N4907" s="248"/>
      <c r="O4907" s="248"/>
      <c r="P4907" s="248"/>
      <c r="Q4907" s="248"/>
      <c r="R4907" s="242"/>
      <c r="S4907" s="242"/>
      <c r="T4907" s="242"/>
      <c r="U4907" s="242"/>
      <c r="V4907" s="242"/>
      <c r="W4907" s="242"/>
      <c r="X4907" s="242"/>
      <c r="Y4907" s="242"/>
      <c r="Z4907" s="242"/>
      <c r="AA4907" s="242"/>
      <c r="AB4907" s="242"/>
      <c r="AC4907" s="242"/>
      <c r="AD4907" s="242"/>
      <c r="AE4907" s="242"/>
      <c r="AF4907" s="242"/>
      <c r="AG4907" s="242"/>
      <c r="AH4907" s="242"/>
      <c r="AL4907" s="226"/>
      <c r="AM4907" s="226"/>
    </row>
    <row r="4908" spans="1:39" x14ac:dyDescent="0.25">
      <c r="V4908" s="231"/>
      <c r="W4908" s="231"/>
      <c r="X4908" s="231"/>
      <c r="Y4908" s="231"/>
      <c r="Z4908" s="231"/>
      <c r="AA4908" s="231"/>
      <c r="AB4908" s="231"/>
      <c r="AC4908" s="231"/>
      <c r="AD4908" s="231"/>
      <c r="AE4908" s="231"/>
      <c r="AF4908" s="231"/>
      <c r="AG4908" s="231"/>
      <c r="AH4908" s="231"/>
    </row>
    <row r="4909" spans="1:39" x14ac:dyDescent="0.25">
      <c r="V4909" s="250"/>
      <c r="W4909" s="250"/>
      <c r="X4909" s="250"/>
      <c r="Y4909" s="250"/>
      <c r="Z4909" s="250"/>
      <c r="AA4909" s="250"/>
      <c r="AB4909" s="250"/>
      <c r="AC4909" s="250"/>
      <c r="AD4909" s="250"/>
      <c r="AE4909" s="250"/>
      <c r="AF4909" s="250"/>
      <c r="AG4909" s="250"/>
      <c r="AH4909" s="250"/>
    </row>
    <row r="4911" spans="1:39" x14ac:dyDescent="0.25">
      <c r="U4911" s="337"/>
      <c r="V4911" s="337"/>
      <c r="W4911" s="337"/>
      <c r="X4911" s="337"/>
      <c r="Y4911" s="337"/>
      <c r="Z4911" s="337"/>
      <c r="AA4911" s="337"/>
      <c r="AB4911" s="337"/>
      <c r="AC4911" s="337"/>
      <c r="AD4911" s="337"/>
      <c r="AE4911" s="337"/>
      <c r="AF4911" s="337"/>
    </row>
    <row r="4912" spans="1:39" x14ac:dyDescent="0.25">
      <c r="U4912" s="250"/>
      <c r="V4912" s="250"/>
      <c r="W4912" s="251"/>
      <c r="X4912" s="251"/>
      <c r="Y4912" s="251"/>
      <c r="Z4912" s="251"/>
      <c r="AA4912" s="251"/>
      <c r="AB4912" s="251"/>
      <c r="AC4912" s="251"/>
      <c r="AD4912" s="251"/>
      <c r="AE4912" s="251"/>
      <c r="AF4912" s="251"/>
    </row>
    <row r="4913" spans="20:32" x14ac:dyDescent="0.25">
      <c r="U4913" s="228"/>
      <c r="V4913" s="252"/>
      <c r="W4913" s="252"/>
      <c r="X4913" s="252"/>
      <c r="Y4913" s="148"/>
      <c r="Z4913" s="253"/>
      <c r="AA4913" s="148"/>
      <c r="AB4913" s="148"/>
      <c r="AC4913" s="253"/>
      <c r="AD4913" s="148"/>
      <c r="AE4913" s="148"/>
      <c r="AF4913" s="148"/>
    </row>
    <row r="4914" spans="20:32" x14ac:dyDescent="0.25">
      <c r="T4914" s="236"/>
      <c r="U4914" s="254"/>
      <c r="V4914" s="252"/>
      <c r="W4914" s="252"/>
      <c r="X4914" s="252"/>
      <c r="Y4914" s="148"/>
      <c r="Z4914" s="253"/>
      <c r="AA4914" s="148"/>
      <c r="AB4914" s="148"/>
      <c r="AC4914" s="253"/>
      <c r="AD4914" s="148"/>
      <c r="AE4914" s="148"/>
      <c r="AF4914" s="148"/>
    </row>
    <row r="4915" spans="20:32" x14ac:dyDescent="0.25">
      <c r="U4915" s="228"/>
      <c r="V4915" s="252"/>
      <c r="W4915" s="252"/>
      <c r="X4915" s="252"/>
      <c r="Y4915" s="148"/>
      <c r="Z4915" s="253"/>
      <c r="AA4915" s="148"/>
      <c r="AB4915" s="148"/>
      <c r="AC4915" s="253"/>
      <c r="AD4915" s="148"/>
      <c r="AE4915" s="148"/>
      <c r="AF4915" s="148"/>
    </row>
    <row r="4916" spans="20:32" x14ac:dyDescent="0.25">
      <c r="T4916" s="236"/>
      <c r="U4916" s="254"/>
      <c r="V4916" s="252"/>
      <c r="W4916" s="252"/>
      <c r="X4916" s="252"/>
      <c r="Y4916" s="148"/>
      <c r="Z4916" s="253"/>
      <c r="AA4916" s="148"/>
      <c r="AB4916" s="148"/>
      <c r="AC4916" s="253"/>
      <c r="AD4916" s="148"/>
      <c r="AE4916" s="148"/>
      <c r="AF4916" s="148"/>
    </row>
    <row r="4917" spans="20:32" x14ac:dyDescent="0.25">
      <c r="U4917" s="228"/>
      <c r="V4917" s="252"/>
      <c r="W4917" s="252"/>
      <c r="X4917" s="252"/>
      <c r="Y4917" s="148"/>
      <c r="Z4917" s="253"/>
      <c r="AA4917" s="148"/>
      <c r="AB4917" s="148"/>
      <c r="AC4917" s="253"/>
      <c r="AD4917" s="148"/>
      <c r="AE4917" s="148"/>
      <c r="AF4917" s="148"/>
    </row>
    <row r="4918" spans="20:32" x14ac:dyDescent="0.25">
      <c r="U4918" s="228"/>
      <c r="V4918" s="252"/>
      <c r="W4918" s="252"/>
      <c r="X4918" s="252"/>
      <c r="Y4918" s="148"/>
      <c r="Z4918" s="253"/>
      <c r="AA4918" s="148"/>
      <c r="AB4918" s="148"/>
      <c r="AC4918" s="253"/>
      <c r="AD4918" s="148"/>
      <c r="AE4918" s="148"/>
      <c r="AF4918" s="148"/>
    </row>
    <row r="4919" spans="20:32" x14ac:dyDescent="0.25">
      <c r="T4919" s="236"/>
      <c r="U4919" s="254"/>
      <c r="V4919" s="252"/>
      <c r="W4919" s="252"/>
      <c r="X4919" s="252"/>
      <c r="Y4919" s="148"/>
      <c r="Z4919" s="253"/>
      <c r="AA4919" s="148"/>
      <c r="AB4919" s="148"/>
      <c r="AC4919" s="253"/>
      <c r="AD4919" s="148"/>
      <c r="AE4919" s="148"/>
      <c r="AF4919" s="148"/>
    </row>
    <row r="4920" spans="20:32" x14ac:dyDescent="0.25">
      <c r="U4920" s="228"/>
      <c r="V4920" s="252"/>
      <c r="W4920" s="252"/>
      <c r="X4920" s="252"/>
      <c r="Y4920" s="148"/>
      <c r="Z4920" s="253"/>
      <c r="AA4920" s="148"/>
      <c r="AB4920" s="148"/>
      <c r="AC4920" s="253"/>
      <c r="AD4920" s="148"/>
      <c r="AE4920" s="148"/>
      <c r="AF4920" s="148"/>
    </row>
    <row r="4921" spans="20:32" x14ac:dyDescent="0.25">
      <c r="T4921" s="236"/>
      <c r="U4921" s="254"/>
      <c r="V4921" s="252"/>
      <c r="W4921" s="252"/>
      <c r="X4921" s="252"/>
      <c r="Y4921" s="148"/>
      <c r="Z4921" s="253"/>
      <c r="AA4921" s="148"/>
      <c r="AB4921" s="148"/>
      <c r="AC4921" s="253"/>
      <c r="AD4921" s="148"/>
      <c r="AE4921" s="148"/>
      <c r="AF4921" s="148"/>
    </row>
    <row r="4922" spans="20:32" x14ac:dyDescent="0.25">
      <c r="U4922" s="228"/>
      <c r="V4922" s="252"/>
      <c r="W4922" s="228"/>
      <c r="X4922" s="252"/>
      <c r="Y4922" s="148"/>
      <c r="Z4922" s="253"/>
      <c r="AA4922" s="148"/>
      <c r="AB4922" s="148"/>
      <c r="AC4922" s="253"/>
      <c r="AD4922" s="148"/>
      <c r="AE4922" s="148"/>
      <c r="AF4922" s="148"/>
    </row>
    <row r="4923" spans="20:32" x14ac:dyDescent="0.25">
      <c r="U4923" s="228"/>
      <c r="V4923" s="252"/>
      <c r="W4923" s="228"/>
      <c r="X4923" s="252"/>
      <c r="Y4923" s="148"/>
      <c r="Z4923" s="253"/>
      <c r="AA4923" s="148"/>
      <c r="AB4923" s="148"/>
      <c r="AC4923" s="253"/>
      <c r="AD4923" s="148"/>
      <c r="AE4923" s="148"/>
      <c r="AF4923" s="148"/>
    </row>
    <row r="4924" spans="20:32" x14ac:dyDescent="0.25">
      <c r="U4924" s="255"/>
      <c r="W4924" s="256"/>
      <c r="X4924" s="256"/>
      <c r="Y4924" s="257"/>
      <c r="Z4924" s="256"/>
      <c r="AA4924" s="257"/>
      <c r="AB4924" s="257"/>
      <c r="AC4924" s="256"/>
      <c r="AD4924" s="257"/>
      <c r="AE4924" s="257"/>
      <c r="AF4924" s="257"/>
    </row>
    <row r="4925" spans="20:32" x14ac:dyDescent="0.25">
      <c r="U4925" s="255"/>
    </row>
    <row r="4926" spans="20:32" x14ac:dyDescent="0.25">
      <c r="U4926" s="255"/>
    </row>
    <row r="4927" spans="20:32" x14ac:dyDescent="0.25">
      <c r="U4927" s="337"/>
      <c r="V4927" s="337"/>
      <c r="W4927" s="337"/>
      <c r="X4927" s="337"/>
      <c r="Y4927" s="337"/>
      <c r="Z4927" s="337"/>
      <c r="AA4927" s="337"/>
      <c r="AB4927" s="337"/>
      <c r="AC4927" s="337"/>
      <c r="AD4927" s="337"/>
      <c r="AE4927" s="337"/>
      <c r="AF4927" s="337"/>
    </row>
    <row r="4928" spans="20:32" x14ac:dyDescent="0.25">
      <c r="U4928" s="250"/>
      <c r="V4928" s="250"/>
      <c r="W4928" s="258"/>
      <c r="X4928" s="258"/>
      <c r="Y4928" s="258"/>
      <c r="Z4928" s="258"/>
      <c r="AA4928" s="258"/>
      <c r="AB4928" s="258"/>
      <c r="AC4928" s="258"/>
      <c r="AD4928" s="258"/>
      <c r="AE4928" s="258"/>
      <c r="AF4928" s="258"/>
    </row>
    <row r="4929" spans="20:32" x14ac:dyDescent="0.25">
      <c r="U4929" s="228"/>
      <c r="V4929" s="252"/>
      <c r="W4929" s="259"/>
      <c r="X4929" s="252"/>
      <c r="Y4929" s="148"/>
      <c r="Z4929" s="253"/>
      <c r="AA4929" s="148"/>
      <c r="AB4929" s="148"/>
      <c r="AC4929" s="253"/>
      <c r="AD4929" s="148"/>
      <c r="AE4929" s="148"/>
      <c r="AF4929" s="148"/>
    </row>
    <row r="4930" spans="20:32" x14ac:dyDescent="0.25">
      <c r="T4930" s="236"/>
      <c r="U4930" s="228"/>
      <c r="V4930" s="252"/>
      <c r="W4930" s="259"/>
      <c r="X4930" s="252"/>
      <c r="Y4930" s="148"/>
      <c r="Z4930" s="253"/>
      <c r="AA4930" s="148"/>
      <c r="AB4930" s="148"/>
      <c r="AC4930" s="253"/>
      <c r="AD4930" s="148"/>
      <c r="AE4930" s="148"/>
      <c r="AF4930" s="148"/>
    </row>
    <row r="4931" spans="20:32" x14ac:dyDescent="0.25">
      <c r="T4931" s="236"/>
      <c r="U4931" s="228"/>
      <c r="V4931" s="252"/>
      <c r="W4931" s="259"/>
      <c r="X4931" s="252"/>
      <c r="Y4931" s="148"/>
      <c r="Z4931" s="253"/>
      <c r="AA4931" s="148"/>
      <c r="AB4931" s="148"/>
      <c r="AC4931" s="253"/>
      <c r="AD4931" s="148"/>
      <c r="AE4931" s="148"/>
      <c r="AF4931" s="148"/>
    </row>
    <row r="4932" spans="20:32" x14ac:dyDescent="0.25">
      <c r="T4932" s="236"/>
      <c r="U4932" s="228"/>
      <c r="V4932" s="252"/>
      <c r="W4932" s="259"/>
      <c r="X4932" s="252"/>
      <c r="Y4932" s="148"/>
      <c r="Z4932" s="253"/>
      <c r="AA4932" s="148"/>
      <c r="AB4932" s="148"/>
      <c r="AC4932" s="253"/>
      <c r="AD4932" s="148"/>
      <c r="AE4932" s="148"/>
      <c r="AF4932" s="148"/>
    </row>
    <row r="4933" spans="20:32" x14ac:dyDescent="0.25">
      <c r="T4933" s="236"/>
      <c r="U4933" s="228"/>
      <c r="V4933" s="252"/>
      <c r="W4933" s="260"/>
      <c r="X4933" s="252"/>
      <c r="Y4933" s="261"/>
      <c r="Z4933" s="262"/>
      <c r="AA4933" s="261"/>
      <c r="AB4933" s="261"/>
      <c r="AC4933" s="262"/>
      <c r="AD4933" s="261"/>
      <c r="AE4933" s="148"/>
      <c r="AF4933" s="261"/>
    </row>
    <row r="4934" spans="20:32" x14ac:dyDescent="0.25">
      <c r="W4934" s="256"/>
      <c r="X4934" s="256"/>
      <c r="Y4934" s="257"/>
      <c r="Z4934" s="256"/>
      <c r="AA4934" s="257"/>
      <c r="AB4934" s="257"/>
      <c r="AC4934" s="256"/>
      <c r="AD4934" s="257"/>
      <c r="AE4934" s="257"/>
      <c r="AF4934" s="257"/>
    </row>
    <row r="4935" spans="20:32" x14ac:dyDescent="0.25">
      <c r="W4935" s="238"/>
      <c r="X4935" s="238"/>
    </row>
    <row r="4936" spans="20:32" x14ac:dyDescent="0.25">
      <c r="W4936" s="231"/>
      <c r="X4936" s="231"/>
      <c r="Y4936" s="263"/>
      <c r="Z4936" s="231"/>
      <c r="AA4936" s="263"/>
      <c r="AB4936" s="263"/>
      <c r="AC4936" s="231"/>
      <c r="AD4936" s="263"/>
      <c r="AE4936" s="263"/>
      <c r="AF4936" s="263"/>
    </row>
    <row r="4937" spans="20:32" x14ac:dyDescent="0.25">
      <c r="W4937" s="238"/>
      <c r="X4937" s="238"/>
    </row>
    <row r="4938" spans="20:32" x14ac:dyDescent="0.25">
      <c r="W4938" s="264"/>
      <c r="X4938" s="264"/>
      <c r="Y4938" s="265"/>
      <c r="Z4938" s="236"/>
      <c r="AA4938" s="265"/>
      <c r="AB4938" s="265"/>
      <c r="AC4938" s="236"/>
      <c r="AD4938" s="265"/>
      <c r="AE4938" s="265"/>
      <c r="AF4938" s="265"/>
    </row>
    <row r="4939" spans="20:32" x14ac:dyDescent="0.25">
      <c r="W4939" s="238"/>
      <c r="X4939" s="238"/>
    </row>
    <row r="4940" spans="20:32" x14ac:dyDescent="0.25">
      <c r="W4940" s="238"/>
      <c r="X4940" s="238"/>
    </row>
    <row r="4941" spans="20:32" x14ac:dyDescent="0.25">
      <c r="W4941" s="238"/>
      <c r="X4941" s="238"/>
    </row>
    <row r="4942" spans="20:32" x14ac:dyDescent="0.25">
      <c r="W4942" s="238"/>
      <c r="X4942" s="238"/>
    </row>
  </sheetData>
  <mergeCells count="7">
    <mergeCell ref="U4927:AF4927"/>
    <mergeCell ref="A1:O1"/>
    <mergeCell ref="A2:O2"/>
    <mergeCell ref="A3:D3"/>
    <mergeCell ref="M3:O3"/>
    <mergeCell ref="A4:O4"/>
    <mergeCell ref="U4911:AF49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M11"/>
  <sheetViews>
    <sheetView showGridLines="0" workbookViewId="0">
      <selection activeCell="I3" sqref="A1:I1048576"/>
    </sheetView>
  </sheetViews>
  <sheetFormatPr defaultColWidth="8.85546875" defaultRowHeight="12.75" x14ac:dyDescent="0.2"/>
  <cols>
    <col min="1" max="1" width="11.7109375" style="267" bestFit="1" customWidth="1"/>
    <col min="2" max="2" width="42.7109375" style="267" bestFit="1" customWidth="1"/>
    <col min="3" max="3" width="1.7109375" style="267" bestFit="1" customWidth="1"/>
    <col min="4" max="4" width="22.140625" style="267" bestFit="1" customWidth="1"/>
    <col min="5" max="5" width="1.7109375" style="267" bestFit="1" customWidth="1"/>
    <col min="6" max="6" width="13.42578125" style="267" bestFit="1" customWidth="1"/>
    <col min="7" max="7" width="11.85546875" style="267" bestFit="1" customWidth="1"/>
    <col min="8" max="8" width="10.7109375" style="267" bestFit="1" customWidth="1"/>
    <col min="9" max="9" width="13.42578125" style="267" bestFit="1" customWidth="1"/>
    <col min="10" max="10" width="14.28515625" style="267" bestFit="1" customWidth="1"/>
    <col min="11" max="11" width="11.7109375" style="267" bestFit="1" customWidth="1"/>
    <col min="12" max="12" width="13.7109375" style="267" bestFit="1" customWidth="1"/>
    <col min="13" max="13" width="22.42578125" style="267" bestFit="1" customWidth="1"/>
    <col min="14" max="16384" width="8.85546875" style="267"/>
  </cols>
  <sheetData>
    <row r="3" spans="1:13" x14ac:dyDescent="0.2">
      <c r="A3" s="343" t="s">
        <v>138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</row>
    <row r="4" spans="1:13" x14ac:dyDescent="0.2">
      <c r="A4" s="266" t="s">
        <v>49</v>
      </c>
      <c r="B4" s="266" t="s">
        <v>130</v>
      </c>
      <c r="C4" s="266" t="s">
        <v>49</v>
      </c>
      <c r="D4" s="266" t="s">
        <v>131</v>
      </c>
      <c r="E4" s="266"/>
      <c r="F4" s="266" t="s">
        <v>132</v>
      </c>
      <c r="G4" s="266" t="s">
        <v>133</v>
      </c>
      <c r="H4" s="266" t="s">
        <v>134</v>
      </c>
      <c r="I4" s="266" t="s">
        <v>102</v>
      </c>
      <c r="J4" s="266" t="s">
        <v>135</v>
      </c>
      <c r="K4" s="266" t="s">
        <v>104</v>
      </c>
      <c r="L4" s="266" t="s">
        <v>136</v>
      </c>
      <c r="M4" s="266" t="s">
        <v>137</v>
      </c>
    </row>
    <row r="5" spans="1:13" ht="15" x14ac:dyDescent="0.25">
      <c r="A5" s="268"/>
      <c r="B5" s="268"/>
      <c r="C5" s="268"/>
      <c r="D5" s="268"/>
      <c r="E5" s="268"/>
      <c r="F5" s="148"/>
      <c r="G5" s="268"/>
      <c r="H5" s="148"/>
      <c r="I5" s="148"/>
      <c r="J5" s="268"/>
      <c r="K5" s="148"/>
      <c r="L5" s="148"/>
      <c r="M5" s="148"/>
    </row>
    <row r="6" spans="1:13" ht="15" x14ac:dyDescent="0.25">
      <c r="A6" s="268"/>
      <c r="B6" s="268"/>
      <c r="C6" s="268"/>
      <c r="D6" s="268"/>
      <c r="E6" s="268"/>
      <c r="F6" s="148"/>
      <c r="G6" s="268"/>
      <c r="H6" s="148"/>
      <c r="I6" s="148"/>
      <c r="J6" s="268"/>
      <c r="K6" s="148"/>
      <c r="L6" s="148"/>
      <c r="M6" s="148"/>
    </row>
    <row r="7" spans="1:13" ht="15" x14ac:dyDescent="0.25">
      <c r="A7" s="268"/>
      <c r="B7" s="268"/>
      <c r="C7" s="268"/>
      <c r="D7" s="268"/>
      <c r="E7" s="268"/>
      <c r="F7" s="148"/>
      <c r="G7" s="268"/>
      <c r="H7" s="148"/>
      <c r="I7" s="148"/>
      <c r="J7" s="268"/>
      <c r="K7" s="148"/>
      <c r="L7" s="148"/>
      <c r="M7" s="148"/>
    </row>
    <row r="8" spans="1:13" ht="15" x14ac:dyDescent="0.25">
      <c r="A8" s="268"/>
      <c r="B8" s="268"/>
      <c r="C8" s="268"/>
      <c r="D8" s="268"/>
      <c r="E8" s="268"/>
      <c r="F8" s="148"/>
      <c r="G8" s="268"/>
      <c r="H8" s="148"/>
      <c r="I8" s="148"/>
      <c r="J8" s="268"/>
      <c r="K8" s="148"/>
      <c r="L8" s="148"/>
      <c r="M8" s="148"/>
    </row>
    <row r="9" spans="1:13" x14ac:dyDescent="0.2">
      <c r="A9" s="269" t="s">
        <v>122</v>
      </c>
    </row>
    <row r="10" spans="1:13" ht="15" x14ac:dyDescent="0.25">
      <c r="A10" s="268"/>
      <c r="B10" s="268"/>
      <c r="C10" s="268"/>
      <c r="D10" s="268"/>
      <c r="E10" s="268"/>
      <c r="F10" s="148"/>
      <c r="G10" s="268"/>
      <c r="H10" s="148"/>
      <c r="I10" s="148"/>
      <c r="J10" s="268"/>
      <c r="K10" s="148"/>
      <c r="L10" s="148"/>
      <c r="M10" s="148"/>
    </row>
    <row r="11" spans="1:13" x14ac:dyDescent="0.2">
      <c r="A11" s="343" t="s">
        <v>54</v>
      </c>
      <c r="B11" s="343"/>
      <c r="C11" s="343"/>
      <c r="D11" s="343"/>
      <c r="E11" s="270" t="s">
        <v>49</v>
      </c>
      <c r="F11" s="271">
        <f>SUM(F5:F10)</f>
        <v>0</v>
      </c>
      <c r="G11" s="270" t="s">
        <v>49</v>
      </c>
      <c r="H11" s="271">
        <f>SUM(H5:H10)</f>
        <v>0</v>
      </c>
      <c r="I11" s="271">
        <f>SUM(I5:I10)</f>
        <v>0</v>
      </c>
      <c r="J11" s="270" t="s">
        <v>49</v>
      </c>
      <c r="K11" s="271">
        <f>SUM(K5:K10)</f>
        <v>0</v>
      </c>
      <c r="L11" s="271">
        <f>SUM(L5:L10)</f>
        <v>0</v>
      </c>
      <c r="M11" s="271">
        <f>SUM(M5:M10)</f>
        <v>0</v>
      </c>
    </row>
  </sheetData>
  <mergeCells count="2">
    <mergeCell ref="A3:M3"/>
    <mergeCell ref="A11:D1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17"/>
  <sheetViews>
    <sheetView showGridLines="0" workbookViewId="0">
      <selection activeCell="I3" sqref="A1:I1048576"/>
    </sheetView>
  </sheetViews>
  <sheetFormatPr defaultColWidth="8.85546875" defaultRowHeight="12.75" x14ac:dyDescent="0.2"/>
  <cols>
    <col min="1" max="1" width="8.7109375" style="267" bestFit="1" customWidth="1"/>
    <col min="2" max="2" width="9.42578125" style="267" bestFit="1" customWidth="1"/>
    <col min="3" max="3" width="10.7109375" style="267" bestFit="1" customWidth="1"/>
    <col min="4" max="4" width="5.42578125" style="267" bestFit="1" customWidth="1"/>
    <col min="5" max="5" width="14.42578125" style="267" bestFit="1" customWidth="1"/>
    <col min="6" max="6" width="12.42578125" style="267" bestFit="1" customWidth="1"/>
    <col min="7" max="9" width="14.42578125" style="267" bestFit="1" customWidth="1"/>
    <col min="10" max="10" width="6.140625" style="267" bestFit="1" customWidth="1"/>
    <col min="11" max="11" width="10.7109375" style="267" bestFit="1" customWidth="1"/>
    <col min="12" max="12" width="7.85546875" style="267" bestFit="1" customWidth="1"/>
    <col min="13" max="13" width="10.7109375" style="267" bestFit="1" customWidth="1"/>
    <col min="14" max="15" width="12.28515625" style="267" bestFit="1" customWidth="1"/>
    <col min="16" max="16" width="14.42578125" style="267" bestFit="1" customWidth="1"/>
    <col min="17" max="17" width="18.28515625" style="267" bestFit="1" customWidth="1"/>
    <col min="18" max="16384" width="8.85546875" style="267"/>
  </cols>
  <sheetData>
    <row r="1" spans="1:39" ht="15" x14ac:dyDescent="0.25">
      <c r="A1" s="344" t="s">
        <v>117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AL1" s="227"/>
      <c r="AM1" s="227"/>
    </row>
    <row r="2" spans="1:39" ht="15" x14ac:dyDescent="0.25">
      <c r="A2" s="344" t="s">
        <v>118</v>
      </c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  <c r="M2" s="345"/>
      <c r="N2" s="345"/>
      <c r="O2" s="345"/>
      <c r="AL2" s="227"/>
      <c r="AM2" s="227"/>
    </row>
    <row r="3" spans="1:39" ht="15" x14ac:dyDescent="0.25">
      <c r="A3" s="344" t="s">
        <v>119</v>
      </c>
      <c r="B3" s="345"/>
      <c r="C3" s="345"/>
      <c r="D3" s="345"/>
      <c r="M3" s="346" t="s">
        <v>120</v>
      </c>
      <c r="N3" s="345"/>
      <c r="O3" s="345"/>
      <c r="AL3" s="227"/>
      <c r="AM3" s="227"/>
    </row>
    <row r="4" spans="1:39" ht="15" x14ac:dyDescent="0.25">
      <c r="A4" s="347" t="s">
        <v>121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AL4" s="227"/>
      <c r="AM4" s="227"/>
    </row>
    <row r="5" spans="1:39" ht="15" x14ac:dyDescent="0.25">
      <c r="A5" s="267" t="s">
        <v>122</v>
      </c>
      <c r="AL5" s="227"/>
      <c r="AM5" s="227"/>
    </row>
    <row r="6" spans="1:39" ht="15" x14ac:dyDescent="0.25">
      <c r="A6" s="272" t="s">
        <v>123</v>
      </c>
      <c r="B6" s="272" t="s">
        <v>98</v>
      </c>
      <c r="C6" s="272" t="s">
        <v>124</v>
      </c>
      <c r="D6" s="272" t="s">
        <v>125</v>
      </c>
      <c r="E6" s="272" t="s">
        <v>99</v>
      </c>
      <c r="F6" s="272" t="s">
        <v>126</v>
      </c>
      <c r="G6" s="272" t="s">
        <v>100</v>
      </c>
      <c r="H6" s="272" t="s">
        <v>101</v>
      </c>
      <c r="I6" s="272" t="s">
        <v>102</v>
      </c>
      <c r="J6" s="272" t="s">
        <v>77</v>
      </c>
      <c r="K6" s="272" t="s">
        <v>103</v>
      </c>
      <c r="L6" s="272" t="s">
        <v>127</v>
      </c>
      <c r="M6" s="272" t="s">
        <v>128</v>
      </c>
      <c r="N6" s="272" t="s">
        <v>104</v>
      </c>
      <c r="O6" s="272" t="s">
        <v>105</v>
      </c>
      <c r="P6" s="272" t="s">
        <v>106</v>
      </c>
      <c r="Q6" s="272" t="s">
        <v>129</v>
      </c>
      <c r="AL6" s="227"/>
      <c r="AM6" s="227"/>
    </row>
    <row r="7" spans="1:39" ht="15" x14ac:dyDescent="0.25">
      <c r="A7" s="273"/>
      <c r="B7" s="273"/>
      <c r="C7" s="273"/>
      <c r="D7" s="273"/>
      <c r="E7" s="274"/>
      <c r="F7" s="275"/>
      <c r="G7" s="274"/>
      <c r="H7" s="274"/>
      <c r="I7" s="274"/>
      <c r="J7" s="275"/>
      <c r="K7" s="274"/>
      <c r="L7" s="275"/>
      <c r="M7" s="275"/>
      <c r="N7" s="274"/>
      <c r="O7" s="274"/>
      <c r="P7" s="274"/>
      <c r="Q7" s="274"/>
    </row>
    <row r="8" spans="1:39" ht="15.75" thickBot="1" x14ac:dyDescent="0.3">
      <c r="A8" s="276"/>
      <c r="B8" s="276"/>
      <c r="C8" s="276"/>
      <c r="D8" s="276"/>
      <c r="E8" s="277"/>
      <c r="F8" s="278"/>
      <c r="G8" s="277"/>
      <c r="H8" s="277"/>
      <c r="I8" s="277"/>
      <c r="J8" s="278"/>
      <c r="K8" s="277"/>
      <c r="L8" s="278"/>
      <c r="M8" s="278"/>
      <c r="N8" s="277"/>
      <c r="O8" s="277"/>
      <c r="P8" s="277"/>
      <c r="Q8" s="277"/>
    </row>
    <row r="9" spans="1:39" ht="15" x14ac:dyDescent="0.25">
      <c r="A9" s="273"/>
      <c r="B9" s="273"/>
      <c r="C9" s="273"/>
      <c r="D9" s="273"/>
      <c r="E9" s="274"/>
      <c r="F9" s="275"/>
      <c r="G9" s="274"/>
      <c r="H9" s="274"/>
      <c r="I9" s="274"/>
      <c r="J9" s="275"/>
      <c r="K9" s="274"/>
      <c r="L9" s="275"/>
      <c r="M9" s="275"/>
      <c r="N9" s="274"/>
      <c r="O9" s="274"/>
      <c r="P9" s="274"/>
      <c r="Q9" s="274"/>
    </row>
    <row r="10" spans="1:39" ht="15" x14ac:dyDescent="0.25">
      <c r="A10" s="273"/>
      <c r="B10" s="273"/>
      <c r="C10" s="273"/>
      <c r="D10" s="273"/>
      <c r="E10" s="274"/>
      <c r="F10" s="275"/>
      <c r="G10" s="274"/>
      <c r="H10" s="274"/>
      <c r="I10" s="274"/>
      <c r="J10" s="275"/>
      <c r="K10" s="274"/>
      <c r="L10" s="275"/>
      <c r="M10" s="275"/>
      <c r="N10" s="274"/>
      <c r="O10" s="274"/>
      <c r="P10" s="274"/>
      <c r="Q10" s="274"/>
    </row>
    <row r="11" spans="1:39" ht="15" x14ac:dyDescent="0.25">
      <c r="A11" s="273"/>
      <c r="B11" s="273"/>
      <c r="C11" s="273"/>
      <c r="D11" s="273"/>
      <c r="E11" s="274"/>
      <c r="F11" s="275"/>
      <c r="G11" s="274"/>
      <c r="H11" s="274"/>
      <c r="I11" s="274"/>
      <c r="J11" s="275"/>
      <c r="K11" s="274"/>
      <c r="L11" s="275"/>
      <c r="M11" s="275"/>
      <c r="N11" s="274"/>
      <c r="O11" s="274"/>
      <c r="P11" s="274"/>
      <c r="Q11" s="274"/>
    </row>
    <row r="12" spans="1:39" ht="15" x14ac:dyDescent="0.25">
      <c r="A12" s="273"/>
      <c r="B12" s="273"/>
      <c r="C12" s="273"/>
      <c r="D12" s="273"/>
      <c r="E12" s="274"/>
      <c r="F12" s="275"/>
      <c r="G12" s="274"/>
      <c r="H12" s="274"/>
      <c r="I12" s="274"/>
      <c r="J12" s="275"/>
      <c r="K12" s="274"/>
      <c r="L12" s="275"/>
      <c r="M12" s="275"/>
      <c r="N12" s="274"/>
      <c r="O12" s="274"/>
      <c r="P12" s="274"/>
      <c r="Q12" s="274"/>
    </row>
    <row r="13" spans="1:39" ht="15.75" thickBot="1" x14ac:dyDescent="0.3">
      <c r="A13" s="276"/>
      <c r="B13" s="276"/>
      <c r="C13" s="276"/>
      <c r="D13" s="276"/>
      <c r="E13" s="277"/>
      <c r="F13" s="278"/>
      <c r="G13" s="277"/>
      <c r="H13" s="277"/>
      <c r="I13" s="277"/>
      <c r="J13" s="278"/>
      <c r="K13" s="277"/>
      <c r="L13" s="278"/>
      <c r="M13" s="278"/>
      <c r="N13" s="277"/>
      <c r="O13" s="277"/>
      <c r="P13" s="277"/>
      <c r="Q13" s="277"/>
    </row>
    <row r="14" spans="1:39" ht="15.75" thickBot="1" x14ac:dyDescent="0.3">
      <c r="A14" s="276"/>
      <c r="B14" s="276"/>
      <c r="C14" s="276"/>
      <c r="D14" s="276"/>
      <c r="E14" s="277"/>
      <c r="F14" s="278"/>
      <c r="G14" s="277"/>
      <c r="H14" s="277"/>
      <c r="I14" s="277"/>
      <c r="J14" s="278"/>
      <c r="K14" s="277"/>
      <c r="L14" s="278"/>
      <c r="M14" s="278"/>
      <c r="N14" s="277"/>
      <c r="O14" s="277"/>
      <c r="P14" s="277"/>
      <c r="Q14" s="277"/>
    </row>
    <row r="15" spans="1:39" ht="15.75" thickBot="1" x14ac:dyDescent="0.3">
      <c r="A15" s="276"/>
      <c r="B15" s="276"/>
      <c r="C15" s="276"/>
      <c r="D15" s="276"/>
      <c r="E15" s="277"/>
      <c r="F15" s="278"/>
      <c r="G15" s="277"/>
      <c r="H15" s="277"/>
      <c r="I15" s="277"/>
      <c r="J15" s="278"/>
      <c r="K15" s="277"/>
      <c r="L15" s="278"/>
      <c r="M15" s="278"/>
      <c r="N15" s="277"/>
      <c r="O15" s="277"/>
      <c r="P15" s="277"/>
      <c r="Q15" s="277"/>
    </row>
    <row r="16" spans="1:39" ht="15" x14ac:dyDescent="0.25">
      <c r="E16" s="150"/>
      <c r="G16" s="150"/>
      <c r="H16" s="150"/>
      <c r="I16" s="150"/>
      <c r="K16" s="150"/>
      <c r="N16" s="150"/>
      <c r="O16" s="150"/>
      <c r="P16" s="150"/>
      <c r="Q16" s="150"/>
    </row>
    <row r="17" spans="1:17" x14ac:dyDescent="0.2">
      <c r="A17" s="266" t="s">
        <v>49</v>
      </c>
      <c r="B17" s="266" t="s">
        <v>49</v>
      </c>
      <c r="C17" s="266" t="s">
        <v>49</v>
      </c>
      <c r="D17" s="266" t="s">
        <v>49</v>
      </c>
      <c r="E17" s="279">
        <f>SUM(E7:E16)</f>
        <v>0</v>
      </c>
      <c r="F17" s="266" t="s">
        <v>49</v>
      </c>
      <c r="G17" s="279">
        <f>SUM(G7:G16)</f>
        <v>0</v>
      </c>
      <c r="H17" s="279">
        <f>SUM(H7:H16)</f>
        <v>0</v>
      </c>
      <c r="I17" s="279">
        <f>SUM(I7:I16)</f>
        <v>0</v>
      </c>
      <c r="J17" s="266" t="s">
        <v>49</v>
      </c>
      <c r="K17" s="279">
        <f>SUM(K7:K16)</f>
        <v>0</v>
      </c>
      <c r="L17" s="266" t="s">
        <v>49</v>
      </c>
      <c r="M17" s="266" t="s">
        <v>49</v>
      </c>
      <c r="N17" s="279">
        <f>SUM(N7:N16)</f>
        <v>0</v>
      </c>
      <c r="O17" s="279">
        <f>SUM(O7:O16)</f>
        <v>0</v>
      </c>
      <c r="P17" s="279">
        <f>SUM(P7:P16)</f>
        <v>0</v>
      </c>
      <c r="Q17" s="279">
        <f>SUM(Q7:Q16)</f>
        <v>0</v>
      </c>
    </row>
  </sheetData>
  <mergeCells count="5">
    <mergeCell ref="A1:O1"/>
    <mergeCell ref="A2:O2"/>
    <mergeCell ref="A3:D3"/>
    <mergeCell ref="M3:O3"/>
    <mergeCell ref="A4:O4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F47"/>
  <sheetViews>
    <sheetView zoomScaleNormal="100" workbookViewId="0">
      <selection activeCell="A8" sqref="A8:XFD8"/>
    </sheetView>
  </sheetViews>
  <sheetFormatPr defaultColWidth="9.140625" defaultRowHeight="12" x14ac:dyDescent="0.2"/>
  <cols>
    <col min="1" max="1" width="25.85546875" style="80" bestFit="1" customWidth="1"/>
    <col min="2" max="2" width="6.85546875" style="90" customWidth="1"/>
    <col min="3" max="3" width="13.7109375" style="29" customWidth="1"/>
    <col min="4" max="10" width="13.7109375" style="11" customWidth="1"/>
    <col min="11" max="11" width="13" style="11" customWidth="1"/>
    <col min="12" max="14" width="13.7109375" style="11" customWidth="1"/>
    <col min="15" max="16384" width="9.140625" style="2"/>
  </cols>
  <sheetData>
    <row r="1" spans="1:110" s="1" customFormat="1" ht="34.5" customHeight="1" x14ac:dyDescent="0.2">
      <c r="A1" s="352" t="s">
        <v>29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</row>
    <row r="2" spans="1:110" s="139" customFormat="1" ht="12.75" thickBot="1" x14ac:dyDescent="0.25">
      <c r="A2" s="137" t="s">
        <v>0</v>
      </c>
      <c r="B2" s="138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81" t="s">
        <v>12</v>
      </c>
    </row>
    <row r="3" spans="1:110" ht="7.5" customHeight="1" thickTop="1" x14ac:dyDescent="0.2">
      <c r="A3" s="60"/>
      <c r="B3" s="8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2"/>
    </row>
    <row r="4" spans="1:110" s="94" customFormat="1" ht="12.75" customHeight="1" x14ac:dyDescent="0.2">
      <c r="A4" s="98" t="s">
        <v>30</v>
      </c>
      <c r="B4" s="92"/>
      <c r="C4" s="51" t="e">
        <f>#REF!</f>
        <v>#REF!</v>
      </c>
      <c r="D4" s="51" t="e">
        <f>#REF!</f>
        <v>#REF!</v>
      </c>
      <c r="E4" s="51" t="e">
        <f>#REF!</f>
        <v>#REF!</v>
      </c>
      <c r="F4" s="51" t="e">
        <f>#REF!</f>
        <v>#REF!</v>
      </c>
      <c r="G4" s="51" t="e">
        <f>#REF!</f>
        <v>#REF!</v>
      </c>
      <c r="H4" s="51" t="e">
        <f>#REF!</f>
        <v>#REF!</v>
      </c>
      <c r="I4" s="51" t="e">
        <f>#REF!</f>
        <v>#REF!</v>
      </c>
      <c r="J4" s="51" t="e">
        <f>#REF!</f>
        <v>#REF!</v>
      </c>
      <c r="K4" s="51" t="e">
        <f>#REF!</f>
        <v>#REF!</v>
      </c>
      <c r="L4" s="51" t="e">
        <f>#REF!</f>
        <v>#REF!</v>
      </c>
      <c r="M4" s="51" t="e">
        <f>#REF!</f>
        <v>#REF!</v>
      </c>
      <c r="N4" s="51" t="e">
        <f>#REF!</f>
        <v>#REF!</v>
      </c>
    </row>
    <row r="5" spans="1:110" s="94" customFormat="1" ht="12.75" thickBot="1" x14ac:dyDescent="0.25">
      <c r="A5" s="101" t="s">
        <v>31</v>
      </c>
      <c r="B5" s="95"/>
      <c r="C5" s="96">
        <v>0</v>
      </c>
      <c r="D5" s="96">
        <v>0</v>
      </c>
      <c r="E5" s="96">
        <v>0</v>
      </c>
      <c r="F5" s="96">
        <v>0</v>
      </c>
      <c r="G5" s="96">
        <v>0</v>
      </c>
      <c r="H5" s="96">
        <v>0</v>
      </c>
      <c r="I5" s="96">
        <v>0</v>
      </c>
      <c r="J5" s="96">
        <v>0</v>
      </c>
      <c r="K5" s="96">
        <v>0</v>
      </c>
      <c r="L5" s="96">
        <v>0</v>
      </c>
      <c r="M5" s="96">
        <v>0</v>
      </c>
      <c r="N5" s="97">
        <v>0</v>
      </c>
    </row>
    <row r="6" spans="1:110" ht="12.75" thickTop="1" x14ac:dyDescent="0.2">
      <c r="A6" s="69" t="s">
        <v>32</v>
      </c>
      <c r="B6" s="86"/>
      <c r="C6" s="26" t="e">
        <f>SUM(C4:C5)</f>
        <v>#REF!</v>
      </c>
      <c r="D6" s="26" t="e">
        <f t="shared" ref="D6:N6" si="0">SUM(D4:D5)</f>
        <v>#REF!</v>
      </c>
      <c r="E6" s="26" t="e">
        <f t="shared" si="0"/>
        <v>#REF!</v>
      </c>
      <c r="F6" s="26" t="e">
        <f t="shared" si="0"/>
        <v>#REF!</v>
      </c>
      <c r="G6" s="26" t="e">
        <f t="shared" si="0"/>
        <v>#REF!</v>
      </c>
      <c r="H6" s="26" t="e">
        <f t="shared" si="0"/>
        <v>#REF!</v>
      </c>
      <c r="I6" s="26" t="e">
        <f t="shared" si="0"/>
        <v>#REF!</v>
      </c>
      <c r="J6" s="26" t="e">
        <f t="shared" si="0"/>
        <v>#REF!</v>
      </c>
      <c r="K6" s="26" t="e">
        <f t="shared" si="0"/>
        <v>#REF!</v>
      </c>
      <c r="L6" s="26" t="e">
        <f t="shared" si="0"/>
        <v>#REF!</v>
      </c>
      <c r="M6" s="26" t="e">
        <f t="shared" si="0"/>
        <v>#REF!</v>
      </c>
      <c r="N6" s="102" t="e">
        <f t="shared" si="0"/>
        <v>#REF!</v>
      </c>
    </row>
    <row r="7" spans="1:110" x14ac:dyDescent="0.2">
      <c r="A7" s="141"/>
      <c r="B7" s="142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</row>
    <row r="8" spans="1:110" x14ac:dyDescent="0.2">
      <c r="A8" s="144" t="s">
        <v>33</v>
      </c>
      <c r="B8" s="145"/>
      <c r="C8" s="146">
        <v>0</v>
      </c>
      <c r="D8" s="146">
        <v>0</v>
      </c>
      <c r="E8" s="146">
        <v>0</v>
      </c>
      <c r="F8" s="146">
        <v>0</v>
      </c>
      <c r="G8" s="146">
        <v>0</v>
      </c>
      <c r="H8" s="146">
        <v>0</v>
      </c>
      <c r="I8" s="146">
        <v>0</v>
      </c>
      <c r="J8" s="146">
        <v>0</v>
      </c>
      <c r="K8" s="146">
        <v>0</v>
      </c>
      <c r="L8" s="146">
        <v>0</v>
      </c>
      <c r="M8" s="146">
        <v>0</v>
      </c>
      <c r="N8" s="147">
        <v>0</v>
      </c>
    </row>
    <row r="10" spans="1:110" ht="14.25" customHeight="1" thickBot="1" x14ac:dyDescent="0.25">
      <c r="A10" s="349" t="s">
        <v>34</v>
      </c>
      <c r="B10" s="350"/>
      <c r="C10" s="350"/>
      <c r="D10" s="350"/>
      <c r="E10" s="350"/>
      <c r="F10" s="350"/>
      <c r="G10" s="350"/>
      <c r="H10" s="350"/>
      <c r="I10" s="350"/>
      <c r="J10" s="350"/>
      <c r="K10" s="350"/>
      <c r="L10" s="350"/>
      <c r="M10" s="350"/>
      <c r="N10" s="351"/>
    </row>
    <row r="11" spans="1:110" s="139" customFormat="1" ht="12.75" thickBot="1" x14ac:dyDescent="0.25">
      <c r="A11" s="30" t="s">
        <v>14</v>
      </c>
      <c r="B11" s="140"/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  <c r="I11" s="5" t="s">
        <v>7</v>
      </c>
      <c r="J11" s="5" t="s">
        <v>8</v>
      </c>
      <c r="K11" s="5" t="s">
        <v>9</v>
      </c>
      <c r="L11" s="5" t="s">
        <v>10</v>
      </c>
      <c r="M11" s="5" t="s">
        <v>11</v>
      </c>
      <c r="N11" s="41" t="s">
        <v>12</v>
      </c>
    </row>
    <row r="12" spans="1:110" ht="12.75" thickTop="1" x14ac:dyDescent="0.2">
      <c r="A12" s="91" t="s">
        <v>35</v>
      </c>
      <c r="B12" s="8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2"/>
    </row>
    <row r="13" spans="1:110" x14ac:dyDescent="0.2">
      <c r="A13" s="61" t="s">
        <v>36</v>
      </c>
      <c r="B13" s="84">
        <v>0.32</v>
      </c>
      <c r="C13" s="16" t="e">
        <f>C4*$B$13</f>
        <v>#REF!</v>
      </c>
      <c r="D13" s="16" t="e">
        <f t="shared" ref="D13:N13" si="1">D4*$B$13</f>
        <v>#REF!</v>
      </c>
      <c r="E13" s="16" t="e">
        <f t="shared" si="1"/>
        <v>#REF!</v>
      </c>
      <c r="F13" s="16" t="e">
        <f t="shared" si="1"/>
        <v>#REF!</v>
      </c>
      <c r="G13" s="16" t="e">
        <f t="shared" si="1"/>
        <v>#REF!</v>
      </c>
      <c r="H13" s="16" t="e">
        <f t="shared" si="1"/>
        <v>#REF!</v>
      </c>
      <c r="I13" s="16" t="e">
        <f t="shared" si="1"/>
        <v>#REF!</v>
      </c>
      <c r="J13" s="16" t="e">
        <f t="shared" si="1"/>
        <v>#REF!</v>
      </c>
      <c r="K13" s="16" t="e">
        <f t="shared" si="1"/>
        <v>#REF!</v>
      </c>
      <c r="L13" s="16" t="e">
        <f t="shared" si="1"/>
        <v>#REF!</v>
      </c>
      <c r="M13" s="16" t="e">
        <f t="shared" si="1"/>
        <v>#REF!</v>
      </c>
      <c r="N13" s="16" t="e">
        <f t="shared" si="1"/>
        <v>#REF!</v>
      </c>
    </row>
    <row r="14" spans="1:110" s="8" customFormat="1" ht="12.75" thickBot="1" x14ac:dyDescent="0.25">
      <c r="A14" s="62" t="s">
        <v>37</v>
      </c>
      <c r="B14" s="85">
        <v>0.32</v>
      </c>
      <c r="C14" s="22" t="e">
        <f>C4*$B$14</f>
        <v>#REF!</v>
      </c>
      <c r="D14" s="22" t="e">
        <f t="shared" ref="D14:N14" si="2">D4*$B$14</f>
        <v>#REF!</v>
      </c>
      <c r="E14" s="22" t="e">
        <f t="shared" si="2"/>
        <v>#REF!</v>
      </c>
      <c r="F14" s="22" t="e">
        <f t="shared" si="2"/>
        <v>#REF!</v>
      </c>
      <c r="G14" s="22" t="e">
        <f t="shared" si="2"/>
        <v>#REF!</v>
      </c>
      <c r="H14" s="22" t="e">
        <f t="shared" si="2"/>
        <v>#REF!</v>
      </c>
      <c r="I14" s="22" t="e">
        <f t="shared" si="2"/>
        <v>#REF!</v>
      </c>
      <c r="J14" s="22" t="e">
        <f t="shared" si="2"/>
        <v>#REF!</v>
      </c>
      <c r="K14" s="22" t="e">
        <f t="shared" si="2"/>
        <v>#REF!</v>
      </c>
      <c r="L14" s="22" t="e">
        <f t="shared" si="2"/>
        <v>#REF!</v>
      </c>
      <c r="M14" s="22" t="e">
        <f t="shared" si="2"/>
        <v>#REF!</v>
      </c>
      <c r="N14" s="22" t="e">
        <f t="shared" si="2"/>
        <v>#REF!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</row>
    <row r="15" spans="1:110" s="10" customFormat="1" ht="12.75" thickTop="1" x14ac:dyDescent="0.2">
      <c r="A15" s="63" t="s">
        <v>38</v>
      </c>
      <c r="B15" s="87"/>
      <c r="C15" s="34" t="e">
        <f>SUM(C13:C14)</f>
        <v>#REF!</v>
      </c>
      <c r="D15" s="34" t="e">
        <f t="shared" ref="D15:N15" si="3">SUM(D13:D14)</f>
        <v>#REF!</v>
      </c>
      <c r="E15" s="34" t="e">
        <f t="shared" si="3"/>
        <v>#REF!</v>
      </c>
      <c r="F15" s="34" t="e">
        <f t="shared" si="3"/>
        <v>#REF!</v>
      </c>
      <c r="G15" s="34" t="e">
        <f t="shared" si="3"/>
        <v>#REF!</v>
      </c>
      <c r="H15" s="34" t="e">
        <f t="shared" si="3"/>
        <v>#REF!</v>
      </c>
      <c r="I15" s="34" t="e">
        <f t="shared" si="3"/>
        <v>#REF!</v>
      </c>
      <c r="J15" s="34" t="e">
        <f t="shared" si="3"/>
        <v>#REF!</v>
      </c>
      <c r="K15" s="34" t="e">
        <f t="shared" si="3"/>
        <v>#REF!</v>
      </c>
      <c r="L15" s="34" t="e">
        <f t="shared" si="3"/>
        <v>#REF!</v>
      </c>
      <c r="M15" s="34" t="e">
        <f t="shared" si="3"/>
        <v>#REF!</v>
      </c>
      <c r="N15" s="105" t="e">
        <f t="shared" si="3"/>
        <v>#REF!</v>
      </c>
    </row>
    <row r="16" spans="1:110" x14ac:dyDescent="0.2">
      <c r="A16" s="91" t="s">
        <v>39</v>
      </c>
      <c r="B16" s="8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2"/>
    </row>
    <row r="17" spans="1:110" x14ac:dyDescent="0.2">
      <c r="A17" s="61" t="s">
        <v>36</v>
      </c>
      <c r="B17" s="84">
        <v>0.12</v>
      </c>
      <c r="C17" s="16">
        <f t="shared" ref="C17:N17" si="4">C5*$B$17</f>
        <v>0</v>
      </c>
      <c r="D17" s="16">
        <f t="shared" si="4"/>
        <v>0</v>
      </c>
      <c r="E17" s="16">
        <f t="shared" si="4"/>
        <v>0</v>
      </c>
      <c r="F17" s="16">
        <f t="shared" si="4"/>
        <v>0</v>
      </c>
      <c r="G17" s="16">
        <f t="shared" si="4"/>
        <v>0</v>
      </c>
      <c r="H17" s="16">
        <f t="shared" si="4"/>
        <v>0</v>
      </c>
      <c r="I17" s="16">
        <f t="shared" si="4"/>
        <v>0</v>
      </c>
      <c r="J17" s="16">
        <f t="shared" si="4"/>
        <v>0</v>
      </c>
      <c r="K17" s="16">
        <f t="shared" si="4"/>
        <v>0</v>
      </c>
      <c r="L17" s="16">
        <f t="shared" si="4"/>
        <v>0</v>
      </c>
      <c r="M17" s="16">
        <f t="shared" si="4"/>
        <v>0</v>
      </c>
      <c r="N17" s="103">
        <f t="shared" si="4"/>
        <v>0</v>
      </c>
    </row>
    <row r="18" spans="1:110" s="8" customFormat="1" ht="12.75" thickBot="1" x14ac:dyDescent="0.25">
      <c r="A18" s="62" t="s">
        <v>37</v>
      </c>
      <c r="B18" s="85">
        <v>0.08</v>
      </c>
      <c r="C18" s="22">
        <f t="shared" ref="C18:N18" si="5">C5*$B$18</f>
        <v>0</v>
      </c>
      <c r="D18" s="22">
        <f t="shared" si="5"/>
        <v>0</v>
      </c>
      <c r="E18" s="22">
        <f t="shared" si="5"/>
        <v>0</v>
      </c>
      <c r="F18" s="22">
        <f t="shared" si="5"/>
        <v>0</v>
      </c>
      <c r="G18" s="22">
        <f t="shared" si="5"/>
        <v>0</v>
      </c>
      <c r="H18" s="22">
        <f t="shared" si="5"/>
        <v>0</v>
      </c>
      <c r="I18" s="22">
        <f t="shared" si="5"/>
        <v>0</v>
      </c>
      <c r="J18" s="22">
        <f t="shared" si="5"/>
        <v>0</v>
      </c>
      <c r="K18" s="22">
        <f t="shared" si="5"/>
        <v>0</v>
      </c>
      <c r="L18" s="22">
        <f t="shared" si="5"/>
        <v>0</v>
      </c>
      <c r="M18" s="22">
        <f t="shared" si="5"/>
        <v>0</v>
      </c>
      <c r="N18" s="104">
        <f t="shared" si="5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</row>
    <row r="19" spans="1:110" s="10" customFormat="1" ht="12.75" thickTop="1" x14ac:dyDescent="0.2">
      <c r="A19" s="63" t="s">
        <v>38</v>
      </c>
      <c r="B19" s="87"/>
      <c r="C19" s="34">
        <f>SUM(C17:C18)</f>
        <v>0</v>
      </c>
      <c r="D19" s="34">
        <f t="shared" ref="D19:N19" si="6">SUM(D17:D18)</f>
        <v>0</v>
      </c>
      <c r="E19" s="34">
        <f t="shared" si="6"/>
        <v>0</v>
      </c>
      <c r="F19" s="34">
        <f t="shared" si="6"/>
        <v>0</v>
      </c>
      <c r="G19" s="34">
        <f t="shared" si="6"/>
        <v>0</v>
      </c>
      <c r="H19" s="34">
        <f t="shared" si="6"/>
        <v>0</v>
      </c>
      <c r="I19" s="34">
        <f t="shared" si="6"/>
        <v>0</v>
      </c>
      <c r="J19" s="34">
        <f t="shared" si="6"/>
        <v>0</v>
      </c>
      <c r="K19" s="34">
        <f t="shared" si="6"/>
        <v>0</v>
      </c>
      <c r="L19" s="34">
        <f t="shared" si="6"/>
        <v>0</v>
      </c>
      <c r="M19" s="34">
        <f t="shared" si="6"/>
        <v>0</v>
      </c>
      <c r="N19" s="105">
        <f t="shared" si="6"/>
        <v>0</v>
      </c>
    </row>
    <row r="20" spans="1:110" x14ac:dyDescent="0.2">
      <c r="A20" s="70"/>
      <c r="B20" s="8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</row>
    <row r="21" spans="1:110" x14ac:dyDescent="0.2">
      <c r="A21" s="61" t="s">
        <v>36</v>
      </c>
      <c r="B21" s="84">
        <v>0.09</v>
      </c>
      <c r="C21" s="16" t="e">
        <f>(C13+C17+C8)*$B$21</f>
        <v>#REF!</v>
      </c>
      <c r="D21" s="16" t="e">
        <f>(D13+D17+D8)*$B$21</f>
        <v>#REF!</v>
      </c>
      <c r="E21" s="16" t="e">
        <f>(E13+E17+E8)*$B$21</f>
        <v>#REF!</v>
      </c>
      <c r="F21" s="16" t="e">
        <f t="shared" ref="F21:N21" si="7">(F13+F17)*$B$21</f>
        <v>#REF!</v>
      </c>
      <c r="G21" s="16" t="e">
        <f t="shared" si="7"/>
        <v>#REF!</v>
      </c>
      <c r="H21" s="16" t="e">
        <f t="shared" si="7"/>
        <v>#REF!</v>
      </c>
      <c r="I21" s="16" t="e">
        <f>(I13+I17)*$B$21</f>
        <v>#REF!</v>
      </c>
      <c r="J21" s="16" t="e">
        <f>(J13+J17)*$B$21</f>
        <v>#REF!</v>
      </c>
      <c r="K21" s="16" t="e">
        <f>(K13+K17)*$B$21</f>
        <v>#REF!</v>
      </c>
      <c r="L21" s="16" t="e">
        <f t="shared" si="7"/>
        <v>#REF!</v>
      </c>
      <c r="M21" s="16" t="e">
        <f t="shared" si="7"/>
        <v>#REF!</v>
      </c>
      <c r="N21" s="106" t="e">
        <f t="shared" si="7"/>
        <v>#REF!</v>
      </c>
    </row>
    <row r="22" spans="1:110" x14ac:dyDescent="0.2">
      <c r="A22" s="82" t="s">
        <v>37</v>
      </c>
      <c r="B22" s="84">
        <v>0.15</v>
      </c>
      <c r="C22" s="16" t="e">
        <f>(C14+C18+C8)*$B$22</f>
        <v>#REF!</v>
      </c>
      <c r="D22" s="16" t="e">
        <f>(D14+D18+D8)*$B$22</f>
        <v>#REF!</v>
      </c>
      <c r="E22" s="16" t="e">
        <f>(E14+E18+E8)*$B$22</f>
        <v>#REF!</v>
      </c>
      <c r="F22" s="16" t="e">
        <f t="shared" ref="F22:N22" si="8">(F14+F18)*$B$22</f>
        <v>#REF!</v>
      </c>
      <c r="G22" s="16" t="e">
        <f t="shared" si="8"/>
        <v>#REF!</v>
      </c>
      <c r="H22" s="16" t="e">
        <f t="shared" si="8"/>
        <v>#REF!</v>
      </c>
      <c r="I22" s="16" t="e">
        <f t="shared" si="8"/>
        <v>#REF!</v>
      </c>
      <c r="J22" s="16" t="e">
        <f t="shared" si="8"/>
        <v>#REF!</v>
      </c>
      <c r="K22" s="16" t="e">
        <f t="shared" si="8"/>
        <v>#REF!</v>
      </c>
      <c r="L22" s="16" t="e">
        <f t="shared" si="8"/>
        <v>#REF!</v>
      </c>
      <c r="M22" s="16" t="e">
        <f t="shared" si="8"/>
        <v>#REF!</v>
      </c>
      <c r="N22" s="103" t="e">
        <f t="shared" si="8"/>
        <v>#REF!</v>
      </c>
    </row>
    <row r="23" spans="1:110" ht="12.75" thickBot="1" x14ac:dyDescent="0.25">
      <c r="A23" s="61" t="s">
        <v>40</v>
      </c>
      <c r="B23" s="84">
        <v>0.1</v>
      </c>
      <c r="C23" s="16" t="e">
        <f>IF(((C14+C18+C8)-20000)*$B$23&gt;0,((C14+C18+C8)-20000)*$B$23,0)</f>
        <v>#REF!</v>
      </c>
      <c r="D23" s="16" t="e">
        <f>IF(((D14+D18+D8)-20000)*$B$23&gt;0,((D14+D18+D8)-20000)*$B$23,0)</f>
        <v>#REF!</v>
      </c>
      <c r="E23" s="16" t="e">
        <f>IF(((E14+E18+E8)-20000)*$B$23&gt;0,((E14+E18+E8)-20000)*$B$23,0)</f>
        <v>#REF!</v>
      </c>
      <c r="F23" s="16" t="e">
        <f t="shared" ref="F23:N23" si="9">IF(((F14+F18)-20000)*$B$23&gt;0,((F14+F18)-20000)*$B$23,0)</f>
        <v>#REF!</v>
      </c>
      <c r="G23" s="16" t="e">
        <f>IF(((G14+G18)-20000)*$B$23&gt;0,((G14+G18)-20000)*$B$23,0)</f>
        <v>#REF!</v>
      </c>
      <c r="H23" s="16" t="e">
        <f t="shared" si="9"/>
        <v>#REF!</v>
      </c>
      <c r="I23" s="16" t="e">
        <f t="shared" si="9"/>
        <v>#REF!</v>
      </c>
      <c r="J23" s="16" t="e">
        <f t="shared" si="9"/>
        <v>#REF!</v>
      </c>
      <c r="K23" s="16" t="e">
        <f t="shared" si="9"/>
        <v>#REF!</v>
      </c>
      <c r="L23" s="16" t="e">
        <f t="shared" si="9"/>
        <v>#REF!</v>
      </c>
      <c r="M23" s="16" t="e">
        <f t="shared" si="9"/>
        <v>#REF!</v>
      </c>
      <c r="N23" s="16" t="e">
        <f t="shared" si="9"/>
        <v>#REF!</v>
      </c>
    </row>
    <row r="24" spans="1:110" s="10" customFormat="1" ht="12" customHeight="1" thickTop="1" x14ac:dyDescent="0.2">
      <c r="A24" s="63" t="s">
        <v>17</v>
      </c>
      <c r="B24" s="87"/>
      <c r="C24" s="34" t="e">
        <f>SUM(C21:C23)</f>
        <v>#REF!</v>
      </c>
      <c r="D24" s="34" t="e">
        <f t="shared" ref="D24:N24" si="10">SUM(D21:D23)</f>
        <v>#REF!</v>
      </c>
      <c r="E24" s="34" t="e">
        <f t="shared" si="10"/>
        <v>#REF!</v>
      </c>
      <c r="F24" s="34" t="e">
        <f t="shared" si="10"/>
        <v>#REF!</v>
      </c>
      <c r="G24" s="34" t="e">
        <f t="shared" si="10"/>
        <v>#REF!</v>
      </c>
      <c r="H24" s="34" t="e">
        <f t="shared" si="10"/>
        <v>#REF!</v>
      </c>
      <c r="I24" s="34" t="e">
        <f t="shared" si="10"/>
        <v>#REF!</v>
      </c>
      <c r="J24" s="34" t="e">
        <f t="shared" si="10"/>
        <v>#REF!</v>
      </c>
      <c r="K24" s="34" t="e">
        <f t="shared" si="10"/>
        <v>#REF!</v>
      </c>
      <c r="L24" s="34" t="e">
        <f t="shared" si="10"/>
        <v>#REF!</v>
      </c>
      <c r="M24" s="34" t="e">
        <f t="shared" si="10"/>
        <v>#REF!</v>
      </c>
      <c r="N24" s="105" t="e">
        <f t="shared" si="10"/>
        <v>#REF!</v>
      </c>
    </row>
    <row r="25" spans="1:110" hidden="1" x14ac:dyDescent="0.2">
      <c r="A25" s="73"/>
      <c r="B25" s="88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 t="e">
        <f>IF(N24&gt;0,N24,0)</f>
        <v>#REF!</v>
      </c>
    </row>
    <row r="26" spans="1:110" hidden="1" x14ac:dyDescent="0.2">
      <c r="A26" s="65" t="s">
        <v>41</v>
      </c>
      <c r="B26" s="89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106"/>
    </row>
    <row r="27" spans="1:110" s="94" customFormat="1" hidden="1" x14ac:dyDescent="0.2">
      <c r="A27" s="98" t="s">
        <v>42</v>
      </c>
      <c r="B27" s="92"/>
      <c r="C27" s="51">
        <v>0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93"/>
    </row>
    <row r="28" spans="1:110" s="94" customFormat="1" ht="12.75" hidden="1" thickBot="1" x14ac:dyDescent="0.25">
      <c r="A28" s="99" t="s">
        <v>43</v>
      </c>
      <c r="B28" s="100"/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7">
        <v>0</v>
      </c>
    </row>
    <row r="29" spans="1:110" ht="12.75" hidden="1" thickTop="1" x14ac:dyDescent="0.2">
      <c r="A29" s="67" t="s">
        <v>19</v>
      </c>
      <c r="B29" s="84"/>
      <c r="C29" s="24">
        <f>SUM(C28:C28)</f>
        <v>0</v>
      </c>
      <c r="D29" s="24">
        <f t="shared" ref="D29:N29" si="11">SUM(D28:D28)</f>
        <v>0</v>
      </c>
      <c r="E29" s="24">
        <f t="shared" si="11"/>
        <v>0</v>
      </c>
      <c r="F29" s="24">
        <f t="shared" si="11"/>
        <v>0</v>
      </c>
      <c r="G29" s="24">
        <f t="shared" si="11"/>
        <v>0</v>
      </c>
      <c r="H29" s="24">
        <f t="shared" si="11"/>
        <v>0</v>
      </c>
      <c r="I29" s="24">
        <f t="shared" si="11"/>
        <v>0</v>
      </c>
      <c r="J29" s="24">
        <f t="shared" si="11"/>
        <v>0</v>
      </c>
      <c r="K29" s="24">
        <f t="shared" si="11"/>
        <v>0</v>
      </c>
      <c r="L29" s="24">
        <f t="shared" si="11"/>
        <v>0</v>
      </c>
      <c r="M29" s="24">
        <f t="shared" si="11"/>
        <v>0</v>
      </c>
      <c r="N29" s="107">
        <f t="shared" si="11"/>
        <v>0</v>
      </c>
    </row>
    <row r="30" spans="1:110" hidden="1" x14ac:dyDescent="0.2">
      <c r="A30" s="68"/>
      <c r="B30" s="8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108"/>
    </row>
    <row r="31" spans="1:110" hidden="1" x14ac:dyDescent="0.2">
      <c r="A31" s="61" t="s">
        <v>36</v>
      </c>
      <c r="B31" s="84">
        <v>0.01</v>
      </c>
      <c r="C31" s="16">
        <f>C27*$B$31</f>
        <v>0</v>
      </c>
      <c r="D31" s="16">
        <f t="shared" ref="D31:N31" si="12">D27*$B$31</f>
        <v>0</v>
      </c>
      <c r="E31" s="16">
        <f t="shared" si="12"/>
        <v>0</v>
      </c>
      <c r="F31" s="16">
        <f t="shared" si="12"/>
        <v>0</v>
      </c>
      <c r="G31" s="16">
        <f t="shared" si="12"/>
        <v>0</v>
      </c>
      <c r="H31" s="16">
        <f t="shared" si="12"/>
        <v>0</v>
      </c>
      <c r="I31" s="16">
        <f t="shared" si="12"/>
        <v>0</v>
      </c>
      <c r="J31" s="16">
        <f t="shared" si="12"/>
        <v>0</v>
      </c>
      <c r="K31" s="16">
        <f t="shared" si="12"/>
        <v>0</v>
      </c>
      <c r="L31" s="16">
        <f t="shared" si="12"/>
        <v>0</v>
      </c>
      <c r="M31" s="16">
        <f t="shared" si="12"/>
        <v>0</v>
      </c>
      <c r="N31" s="103">
        <f t="shared" si="12"/>
        <v>0</v>
      </c>
    </row>
    <row r="32" spans="1:110" ht="12.75" hidden="1" thickBot="1" x14ac:dyDescent="0.25">
      <c r="A32" s="83" t="s">
        <v>37</v>
      </c>
      <c r="B32" s="85">
        <v>1.4999999999999999E-2</v>
      </c>
      <c r="C32" s="22">
        <f>C28*$B$32</f>
        <v>0</v>
      </c>
      <c r="D32" s="22">
        <f t="shared" ref="D32:N32" si="13">D28*$B$32</f>
        <v>0</v>
      </c>
      <c r="E32" s="22">
        <f t="shared" si="13"/>
        <v>0</v>
      </c>
      <c r="F32" s="22">
        <f t="shared" si="13"/>
        <v>0</v>
      </c>
      <c r="G32" s="22">
        <f t="shared" si="13"/>
        <v>0</v>
      </c>
      <c r="H32" s="22">
        <f t="shared" si="13"/>
        <v>0</v>
      </c>
      <c r="I32" s="22">
        <f t="shared" si="13"/>
        <v>0</v>
      </c>
      <c r="J32" s="22">
        <f t="shared" si="13"/>
        <v>0</v>
      </c>
      <c r="K32" s="22">
        <f t="shared" si="13"/>
        <v>0</v>
      </c>
      <c r="L32" s="22">
        <f t="shared" si="13"/>
        <v>0</v>
      </c>
      <c r="M32" s="22">
        <f t="shared" si="13"/>
        <v>0</v>
      </c>
      <c r="N32" s="104">
        <f t="shared" si="13"/>
        <v>0</v>
      </c>
    </row>
    <row r="33" spans="1:14" ht="12.75" hidden="1" thickTop="1" x14ac:dyDescent="0.2">
      <c r="A33" s="69" t="s">
        <v>41</v>
      </c>
      <c r="B33" s="86"/>
      <c r="C33" s="26">
        <f>SUM(C31:C32)</f>
        <v>0</v>
      </c>
      <c r="D33" s="26">
        <f t="shared" ref="D33:N33" si="14">SUM(D31:D32)</f>
        <v>0</v>
      </c>
      <c r="E33" s="26">
        <f t="shared" si="14"/>
        <v>0</v>
      </c>
      <c r="F33" s="26">
        <f t="shared" si="14"/>
        <v>0</v>
      </c>
      <c r="G33" s="26">
        <f t="shared" si="14"/>
        <v>0</v>
      </c>
      <c r="H33" s="26">
        <f t="shared" si="14"/>
        <v>0</v>
      </c>
      <c r="I33" s="26">
        <f t="shared" si="14"/>
        <v>0</v>
      </c>
      <c r="J33" s="26">
        <f t="shared" si="14"/>
        <v>0</v>
      </c>
      <c r="K33" s="26">
        <f t="shared" si="14"/>
        <v>0</v>
      </c>
      <c r="L33" s="26">
        <f t="shared" si="14"/>
        <v>0</v>
      </c>
      <c r="M33" s="26">
        <f t="shared" si="14"/>
        <v>0</v>
      </c>
      <c r="N33" s="102">
        <f t="shared" si="14"/>
        <v>0</v>
      </c>
    </row>
    <row r="34" spans="1:14" x14ac:dyDescent="0.2">
      <c r="A34" s="70"/>
      <c r="B34" s="88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</row>
    <row r="35" spans="1:14" x14ac:dyDescent="0.2">
      <c r="A35" s="127" t="s">
        <v>44</v>
      </c>
      <c r="B35" s="89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106"/>
    </row>
    <row r="36" spans="1:14" x14ac:dyDescent="0.2">
      <c r="A36" s="61"/>
      <c r="B36" s="8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03"/>
    </row>
    <row r="37" spans="1:14" x14ac:dyDescent="0.2">
      <c r="A37" s="61" t="s">
        <v>36</v>
      </c>
      <c r="B37" s="84"/>
      <c r="C37" s="16"/>
      <c r="D37" s="16"/>
      <c r="E37" s="16" t="e">
        <f>C21+D21+E21</f>
        <v>#REF!</v>
      </c>
      <c r="F37" s="16"/>
      <c r="G37" s="16"/>
      <c r="H37" s="16" t="e">
        <f>F21+G21+H21</f>
        <v>#REF!</v>
      </c>
      <c r="I37" s="16"/>
      <c r="J37" s="16"/>
      <c r="K37" s="16" t="e">
        <f>I21+J21+K21</f>
        <v>#REF!</v>
      </c>
      <c r="L37" s="16"/>
      <c r="M37" s="16"/>
      <c r="N37" s="16" t="e">
        <f>L21+M21+N21</f>
        <v>#REF!</v>
      </c>
    </row>
    <row r="38" spans="1:14" ht="12.75" thickBot="1" x14ac:dyDescent="0.25">
      <c r="A38" s="83" t="s">
        <v>37</v>
      </c>
      <c r="B38" s="85"/>
      <c r="C38" s="22"/>
      <c r="D38" s="22"/>
      <c r="E38" s="22" t="e">
        <f>C22+C23+D22+D23+E22+E23</f>
        <v>#REF!</v>
      </c>
      <c r="F38" s="22"/>
      <c r="G38" s="22"/>
      <c r="H38" s="22" t="e">
        <f>F22+F23+G22+G23+H22+H23</f>
        <v>#REF!</v>
      </c>
      <c r="I38" s="22"/>
      <c r="J38" s="22"/>
      <c r="K38" s="22" t="e">
        <f>I22+I23+J22+J23+K22+K23</f>
        <v>#REF!</v>
      </c>
      <c r="L38" s="22"/>
      <c r="M38" s="22"/>
      <c r="N38" s="22" t="e">
        <f>L22+L23+M22+M23+N22+N23</f>
        <v>#REF!</v>
      </c>
    </row>
    <row r="39" spans="1:14" ht="12.75" thickTop="1" x14ac:dyDescent="0.2">
      <c r="A39" s="78" t="s">
        <v>17</v>
      </c>
      <c r="B39" s="84"/>
      <c r="C39" s="24"/>
      <c r="D39" s="24"/>
      <c r="E39" s="24" t="e">
        <f>E37+E38</f>
        <v>#REF!</v>
      </c>
      <c r="F39" s="24"/>
      <c r="G39" s="24"/>
      <c r="H39" s="24" t="e">
        <f>H37+H38</f>
        <v>#REF!</v>
      </c>
      <c r="I39" s="24"/>
      <c r="J39" s="24"/>
      <c r="K39" s="24" t="e">
        <f>K37+K38</f>
        <v>#REF!</v>
      </c>
      <c r="L39" s="24"/>
      <c r="M39" s="24"/>
      <c r="N39" s="107" t="e">
        <f>N37+N38</f>
        <v>#REF!</v>
      </c>
    </row>
    <row r="40" spans="1:14" x14ac:dyDescent="0.2">
      <c r="A40" s="61"/>
      <c r="B40" s="84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03"/>
    </row>
    <row r="41" spans="1:14" s="113" customFormat="1" x14ac:dyDescent="0.2">
      <c r="A41" s="109" t="s">
        <v>36</v>
      </c>
      <c r="B41" s="110"/>
      <c r="C41" s="111"/>
      <c r="D41" s="111"/>
      <c r="E41" s="111">
        <f>-C31-D31-E31</f>
        <v>0</v>
      </c>
      <c r="F41" s="111"/>
      <c r="G41" s="111"/>
      <c r="H41" s="111">
        <f>-F31-G31-H31</f>
        <v>0</v>
      </c>
      <c r="I41" s="111"/>
      <c r="J41" s="111"/>
      <c r="K41" s="111">
        <f>-I31-J31-K31</f>
        <v>0</v>
      </c>
      <c r="L41" s="111"/>
      <c r="M41" s="111"/>
      <c r="N41" s="112">
        <f>-L31-M31-N31</f>
        <v>0</v>
      </c>
    </row>
    <row r="42" spans="1:14" s="113" customFormat="1" ht="12.75" thickBot="1" x14ac:dyDescent="0.25">
      <c r="A42" s="114" t="s">
        <v>37</v>
      </c>
      <c r="B42" s="115"/>
      <c r="C42" s="116"/>
      <c r="D42" s="116"/>
      <c r="E42" s="116">
        <v>0</v>
      </c>
      <c r="F42" s="116"/>
      <c r="G42" s="116"/>
      <c r="H42" s="116">
        <f>F32-G32-H32</f>
        <v>0</v>
      </c>
      <c r="I42" s="116"/>
      <c r="J42" s="116"/>
      <c r="K42" s="116">
        <f>I32-J32-K32</f>
        <v>0</v>
      </c>
      <c r="L42" s="116"/>
      <c r="M42" s="116"/>
      <c r="N42" s="117">
        <f>L32-M32-N32</f>
        <v>0</v>
      </c>
    </row>
    <row r="43" spans="1:14" s="113" customFormat="1" ht="12.75" thickTop="1" x14ac:dyDescent="0.2">
      <c r="A43" s="118" t="s">
        <v>27</v>
      </c>
      <c r="B43" s="110"/>
      <c r="C43" s="119"/>
      <c r="D43" s="119"/>
      <c r="E43" s="119">
        <f>E41+E42</f>
        <v>0</v>
      </c>
      <c r="F43" s="119"/>
      <c r="G43" s="119"/>
      <c r="H43" s="119">
        <f>H41+H42</f>
        <v>0</v>
      </c>
      <c r="I43" s="119"/>
      <c r="J43" s="119"/>
      <c r="K43" s="119">
        <f>K41+K42</f>
        <v>0</v>
      </c>
      <c r="L43" s="119"/>
      <c r="M43" s="119"/>
      <c r="N43" s="120">
        <f>N41+N42</f>
        <v>0</v>
      </c>
    </row>
    <row r="44" spans="1:14" x14ac:dyDescent="0.2">
      <c r="A44" s="61"/>
      <c r="B44" s="84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03"/>
    </row>
    <row r="45" spans="1:14" x14ac:dyDescent="0.2">
      <c r="A45" s="61" t="s">
        <v>36</v>
      </c>
      <c r="B45" s="84"/>
      <c r="C45" s="16"/>
      <c r="D45" s="16"/>
      <c r="E45" s="16" t="e">
        <f>E37+E41</f>
        <v>#REF!</v>
      </c>
      <c r="F45" s="16"/>
      <c r="G45" s="16"/>
      <c r="H45" s="16" t="e">
        <f>H37+H41</f>
        <v>#REF!</v>
      </c>
      <c r="I45" s="16"/>
      <c r="J45" s="16"/>
      <c r="K45" s="16" t="e">
        <f>K37+K41</f>
        <v>#REF!</v>
      </c>
      <c r="L45" s="16"/>
      <c r="M45" s="16"/>
      <c r="N45" s="103" t="e">
        <f>N37+N41</f>
        <v>#REF!</v>
      </c>
    </row>
    <row r="46" spans="1:14" ht="12.75" thickBot="1" x14ac:dyDescent="0.25">
      <c r="A46" s="83" t="s">
        <v>37</v>
      </c>
      <c r="B46" s="85"/>
      <c r="C46" s="22"/>
      <c r="D46" s="22"/>
      <c r="E46" s="22" t="e">
        <f>E38+E42</f>
        <v>#REF!</v>
      </c>
      <c r="F46" s="22"/>
      <c r="G46" s="22"/>
      <c r="H46" s="22" t="e">
        <f>H38+H42</f>
        <v>#REF!</v>
      </c>
      <c r="I46" s="22"/>
      <c r="J46" s="22"/>
      <c r="K46" s="22" t="e">
        <f>K38+K42</f>
        <v>#REF!</v>
      </c>
      <c r="L46" s="22"/>
      <c r="M46" s="22"/>
      <c r="N46" s="104" t="e">
        <f>N38+N42</f>
        <v>#REF!</v>
      </c>
    </row>
    <row r="47" spans="1:14" ht="12.75" thickTop="1" x14ac:dyDescent="0.2">
      <c r="A47" s="79" t="s">
        <v>28</v>
      </c>
      <c r="B47" s="86"/>
      <c r="C47" s="26"/>
      <c r="D47" s="26"/>
      <c r="E47" s="26" t="e">
        <f>E45+E46</f>
        <v>#REF!</v>
      </c>
      <c r="F47" s="26"/>
      <c r="G47" s="26"/>
      <c r="H47" s="26" t="e">
        <f>H45+H46</f>
        <v>#REF!</v>
      </c>
      <c r="I47" s="26"/>
      <c r="J47" s="26"/>
      <c r="K47" s="26" t="e">
        <f>K45+K46</f>
        <v>#REF!</v>
      </c>
      <c r="L47" s="26"/>
      <c r="M47" s="26"/>
      <c r="N47" s="102" t="e">
        <f>N45+N46</f>
        <v>#REF!</v>
      </c>
    </row>
  </sheetData>
  <mergeCells count="2">
    <mergeCell ref="A10:N10"/>
    <mergeCell ref="A1:M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0E2F778E42F40A058FC363B4F2A3C" ma:contentTypeVersion="13" ma:contentTypeDescription="Crie um novo documento." ma:contentTypeScope="" ma:versionID="5e76713c118634d3e50738b3b608d0eb">
  <xsd:schema xmlns:xsd="http://www.w3.org/2001/XMLSchema" xmlns:xs="http://www.w3.org/2001/XMLSchema" xmlns:p="http://schemas.microsoft.com/office/2006/metadata/properties" xmlns:ns2="33df9f91-f0bf-42b9-a37c-3477777d7c72" xmlns:ns3="ec7e8580-85f3-47a2-af11-5754fb74a092" targetNamespace="http://schemas.microsoft.com/office/2006/metadata/properties" ma:root="true" ma:fieldsID="53642a66d7866ff6821fa8540b10d8fb" ns2:_="" ns3:_="">
    <xsd:import namespace="33df9f91-f0bf-42b9-a37c-3477777d7c72"/>
    <xsd:import namespace="ec7e8580-85f3-47a2-af11-5754fb74a0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f9f91-f0bf-42b9-a37c-3477777d7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6" nillable="true" ma:displayName="Status de liberação" ma:internalName="Status_x0020_de_x0020_libera_x00e7__x00e3_o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e8580-85f3-47a2-af11-5754fb74a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3df9f91-f0bf-42b9-a37c-3477777d7c72" xsi:nil="true"/>
  </documentManagement>
</p:properties>
</file>

<file path=customXml/itemProps1.xml><?xml version="1.0" encoding="utf-8"?>
<ds:datastoreItem xmlns:ds="http://schemas.openxmlformats.org/officeDocument/2006/customXml" ds:itemID="{67907638-7994-45D6-AF32-F550E2BAC5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98470E-3786-4D25-B9BD-1F8ABDF3BC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df9f91-f0bf-42b9-a37c-3477777d7c72"/>
    <ds:schemaRef ds:uri="ec7e8580-85f3-47a2-af11-5754fb74a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B7C36B-7F42-48AA-800A-D9E35D60097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33df9f91-f0bf-42b9-a37c-3477777d7c72"/>
    <ds:schemaRef ds:uri="http://purl.org/dc/elements/1.1/"/>
    <ds:schemaRef ds:uri="http://schemas.microsoft.com/office/2006/metadata/properties"/>
    <ds:schemaRef ds:uri="http://schemas.microsoft.com/office/infopath/2007/PartnerControls"/>
    <ds:schemaRef ds:uri="ec7e8580-85f3-47a2-af11-5754fb74a09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ENTRADAS</vt:lpstr>
      <vt:lpstr>ENTRADA NBS</vt:lpstr>
      <vt:lpstr>SAIDA NBS</vt:lpstr>
      <vt:lpstr>RESUMO</vt:lpstr>
      <vt:lpstr>Pis e Cofins - NAO CUMULATIVO</vt:lpstr>
      <vt:lpstr>Pis e Cofins - CUMULATIVO </vt:lpstr>
      <vt:lpstr>RECEITAS</vt:lpstr>
      <vt:lpstr>Devolução</vt:lpstr>
      <vt:lpstr>CONSOLIDADO</vt:lpstr>
      <vt:lpstr>Devolução (2)</vt:lpstr>
      <vt:lpstr>Devolução VU</vt:lpstr>
      <vt:lpstr>Apuração de IRPJ e CSLL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Ataíde</dc:creator>
  <cp:keywords/>
  <dc:description/>
  <cp:lastModifiedBy>Riozen</cp:lastModifiedBy>
  <cp:revision/>
  <cp:lastPrinted>2024-03-12T21:45:42Z</cp:lastPrinted>
  <dcterms:created xsi:type="dcterms:W3CDTF">2018-06-15T21:06:40Z</dcterms:created>
  <dcterms:modified xsi:type="dcterms:W3CDTF">2026-05-22T14:43:19Z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0x0101002A00E2F778E42F40A058FC363B4F2A3C</vt:lpwstr>
  </property>
  <property fmtid="{D5CDD505-2E9C-101B-9397-08002B2CF9AE}" pid="3" name="Order">
    <vt:r8>2931600</vt:r8>
  </property>
</Properties>
</file>